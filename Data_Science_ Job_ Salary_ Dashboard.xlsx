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Excel learns\"/>
    </mc:Choice>
  </mc:AlternateContent>
  <xr:revisionPtr revIDLastSave="0" documentId="8_{78D9E4B0-C70B-4B56-81B6-8BDAD196450B}" xr6:coauthVersionLast="47" xr6:coauthVersionMax="47" xr10:uidLastSave="{00000000-0000-0000-0000-000000000000}"/>
  <bookViews>
    <workbookView xWindow="-120" yWindow="-120" windowWidth="26640" windowHeight="14370" xr2:uid="{958960CF-DAE0-4546-889C-31F2462BC3C0}"/>
  </bookViews>
  <sheets>
    <sheet name="Dashboard" sheetId="7" r:id="rId1"/>
    <sheet name="Raw_Data" sheetId="1" r:id="rId2"/>
    <sheet name="Pivot" sheetId="6" r:id="rId3"/>
    <sheet name="Lists" sheetId="2" r:id="rId4"/>
  </sheets>
  <definedNames>
    <definedName name="Slicer_Country">#N/A</definedName>
    <definedName name="Slicer_Experience_Level">#N/A</definedName>
    <definedName name="Slicer_Job_Type">#N/A</definedName>
  </definedNames>
  <calcPr calcId="191029"/>
  <pivotCaches>
    <pivotCache cacheId="2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5" i="7" l="1" a="1"/>
  <c r="O5" i="7" s="1"/>
  <c r="L5" i="7" a="1"/>
  <c r="L5" i="7" s="1"/>
  <c r="I5" i="7" a="1"/>
  <c r="I5" i="7" s="1"/>
  <c r="F5" i="7" a="1"/>
  <c r="F5" i="7" s="1"/>
  <c r="E2" i="2" a="1"/>
  <c r="E2" i="2" s="1"/>
  <c r="D2" i="2" a="1"/>
  <c r="D2" i="2" s="1"/>
  <c r="C2" i="2" a="1"/>
  <c r="C2" i="2" s="1"/>
  <c r="B2" i="2" a="1"/>
  <c r="B2" i="2" s="1"/>
  <c r="A2" i="2" a="1"/>
  <c r="A2"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<sst xmlns="http://schemas.openxmlformats.org/spreadsheetml/2006/main" count="1469" uniqueCount="77">
  <si>
    <t>Job ID</t>
  </si>
  <si>
    <t>Job Title</t>
  </si>
  <si>
    <t>Country</t>
  </si>
  <si>
    <t>Job Type</t>
  </si>
  <si>
    <t>Company</t>
  </si>
  <si>
    <t>Median Salary</t>
  </si>
  <si>
    <t>Job Posting Month</t>
  </si>
  <si>
    <t>Experience Level</t>
  </si>
  <si>
    <t>Work Mode</t>
  </si>
  <si>
    <t>Data Scientist</t>
  </si>
  <si>
    <t>USA</t>
  </si>
  <si>
    <t>Full-Time</t>
  </si>
  <si>
    <t>Meta</t>
  </si>
  <si>
    <t>December</t>
  </si>
  <si>
    <t>Entry Level</t>
  </si>
  <si>
    <t>Remote</t>
  </si>
  <si>
    <t>UAE</t>
  </si>
  <si>
    <t>Microsoft</t>
  </si>
  <si>
    <t>September</t>
  </si>
  <si>
    <t>Data Engineer</t>
  </si>
  <si>
    <t>SAP</t>
  </si>
  <si>
    <t>March</t>
  </si>
  <si>
    <t>Mid Level</t>
  </si>
  <si>
    <t>BI Analyst</t>
  </si>
  <si>
    <t>Germany</t>
  </si>
  <si>
    <t>Capgemini</t>
  </si>
  <si>
    <t>July</t>
  </si>
  <si>
    <t>Part-Time</t>
  </si>
  <si>
    <t>Flipkart</t>
  </si>
  <si>
    <t>Senior Level</t>
  </si>
  <si>
    <t>Machine Learning Engineer</t>
  </si>
  <si>
    <t>Australia</t>
  </si>
  <si>
    <t>April</t>
  </si>
  <si>
    <t>Hybrid</t>
  </si>
  <si>
    <t>Canada</t>
  </si>
  <si>
    <t>Contract</t>
  </si>
  <si>
    <t>PwC</t>
  </si>
  <si>
    <t>November</t>
  </si>
  <si>
    <t>Onsite</t>
  </si>
  <si>
    <t>Business Analyst</t>
  </si>
  <si>
    <t>IBM</t>
  </si>
  <si>
    <t>Amazon</t>
  </si>
  <si>
    <t>May</t>
  </si>
  <si>
    <t>Cognizant</t>
  </si>
  <si>
    <t>June</t>
  </si>
  <si>
    <t>Singapore</t>
  </si>
  <si>
    <t>Analytics Manager</t>
  </si>
  <si>
    <t>India</t>
  </si>
  <si>
    <t>HCL</t>
  </si>
  <si>
    <t>Data Analyst</t>
  </si>
  <si>
    <t>Oracle</t>
  </si>
  <si>
    <t>UK</t>
  </si>
  <si>
    <t>Deloitte</t>
  </si>
  <si>
    <t>January</t>
  </si>
  <si>
    <t>Data Architect</t>
  </si>
  <si>
    <t>EY</t>
  </si>
  <si>
    <t>August</t>
  </si>
  <si>
    <t>October</t>
  </si>
  <si>
    <t>February</t>
  </si>
  <si>
    <t>Accenture</t>
  </si>
  <si>
    <t>Netflix</t>
  </si>
  <si>
    <t>Adobe</t>
  </si>
  <si>
    <t>TCS</t>
  </si>
  <si>
    <t>Infosys</t>
  </si>
  <si>
    <t>Wipro</t>
  </si>
  <si>
    <t>Internship</t>
  </si>
  <si>
    <t>Google</t>
  </si>
  <si>
    <t xml:space="preserve"> Country</t>
  </si>
  <si>
    <t xml:space="preserve"> Experience Level</t>
  </si>
  <si>
    <t>Data Science Job Salary Dashboard</t>
  </si>
  <si>
    <t>Highest Salary</t>
  </si>
  <si>
    <t>Lowest Salary</t>
  </si>
  <si>
    <t>Row Labels</t>
  </si>
  <si>
    <t>Grand Total</t>
  </si>
  <si>
    <t>Average of Median Salary</t>
  </si>
  <si>
    <t>Sum of Job ID</t>
  </si>
  <si>
    <t>Total Jobs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</si>
</sst>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8" formatCode="\$#,##0"/>
    <numFmt numFmtId="170" formatCode="&quot;₹&quot;\ #,##0.00"/>
    <numFmt numFmtId="171" formatCode="&quot;₹&quot;\ #,##0"/>
  </numFmts>
  <fonts count="9" x14ac:knownFonts="1">
    <font>
      <sz val="11"/>
      <color theme="1"/>
      <name val="Calibri"/>
      <family val="2"/>
      <scheme val="minor"/>
    </font>
    <font>
      <sz val="11"/>
      <color theme="1"/>
      <name val="Calibri"/>
      <family val="2"/>
      <scheme val="minor"/>
    </font>
    <font>
      <b/>
      <sz val="11"/>
      <color theme="0"/>
      <name val="Calibri"/>
      <family val="2"/>
      <scheme val="minor"/>
    </font>
    <font>
      <sz val="11"/>
      <color theme="1"/>
      <name val="Calibri"/>
      <family val="2"/>
      <charset val="1"/>
    </font>
    <font>
      <sz val="11"/>
      <name val="Calibri"/>
      <family val="2"/>
    </font>
    <font>
      <b/>
      <sz val="11"/>
      <color rgb="FFFFFFFF"/>
      <name val="Calibri"/>
      <family val="2"/>
    </font>
    <font>
      <b/>
      <sz val="18"/>
      <color theme="0"/>
      <name val="Calibri"/>
      <family val="2"/>
      <scheme val="minor"/>
    </font>
    <font>
      <b/>
      <sz val="24"/>
      <color rgb="FF002060"/>
      <name val="Calibri"/>
      <family val="2"/>
      <scheme val="minor"/>
    </font>
    <font>
      <b/>
      <sz val="12"/>
      <color theme="3" tint="-0.499984740745262"/>
      <name val="Calibri"/>
      <family val="2"/>
      <scheme val="minor"/>
    </font>
  </fonts>
  <fills count="6">
    <fill>
      <patternFill patternType="none"/>
    </fill>
    <fill>
      <patternFill patternType="gray125"/>
    </fill>
    <fill>
      <patternFill patternType="solid">
        <fgColor rgb="FF1F4E78"/>
        <bgColor rgb="FF003366"/>
      </patternFill>
    </fill>
    <fill>
      <patternFill patternType="solid">
        <fgColor theme="4" tint="0.39997558519241921"/>
        <bgColor indexed="64"/>
      </patternFill>
    </fill>
    <fill>
      <patternFill patternType="solid">
        <fgColor theme="4" tint="-0.249977111117893"/>
        <bgColor indexed="64"/>
      </patternFill>
    </fill>
    <fill>
      <patternFill patternType="solid">
        <fgColor theme="0"/>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3">
    <xf numFmtId="0" fontId="0" fillId="0" borderId="0"/>
    <xf numFmtId="43" fontId="1" fillId="0" borderId="0" applyFont="0" applyFill="0" applyBorder="0" applyAlignment="0" applyProtection="0"/>
    <xf numFmtId="0" fontId="3" fillId="0" borderId="0"/>
  </cellStyleXfs>
  <cellXfs count="15">
    <xf numFmtId="0" fontId="0" fillId="0" borderId="0" xfId="0"/>
    <xf numFmtId="0" fontId="5" fillId="2" borderId="0" xfId="2" applyFont="1" applyFill="1" applyAlignment="1">
      <alignment horizontal="center" vertical="center"/>
    </xf>
    <xf numFmtId="0" fontId="4" fillId="0" borderId="1" xfId="2" applyFont="1" applyBorder="1"/>
    <xf numFmtId="168" fontId="4" fillId="0" borderId="1" xfId="2" applyNumberFormat="1" applyFont="1" applyBorder="1"/>
    <xf numFmtId="0" fontId="4" fillId="0" borderId="2" xfId="2" applyFont="1" applyBorder="1"/>
    <xf numFmtId="168" fontId="4" fillId="0" borderId="2" xfId="2" applyNumberFormat="1" applyFont="1" applyBorder="1"/>
    <xf numFmtId="0" fontId="0" fillId="0" borderId="0" xfId="0" pivotButton="1"/>
    <xf numFmtId="0" fontId="0" fillId="0" borderId="0" xfId="0" applyAlignment="1">
      <alignment horizontal="left"/>
    </xf>
    <xf numFmtId="171" fontId="0" fillId="0" borderId="0" xfId="0" applyNumberFormat="1"/>
    <xf numFmtId="0" fontId="0" fillId="0" borderId="0" xfId="0" applyNumberFormat="1"/>
    <xf numFmtId="0" fontId="2" fillId="4" borderId="3" xfId="0" applyFont="1" applyFill="1" applyBorder="1" applyAlignment="1">
      <alignment horizontal="center"/>
    </xf>
    <xf numFmtId="0" fontId="6" fillId="3" borderId="4" xfId="0" applyFont="1" applyFill="1" applyBorder="1" applyAlignment="1">
      <alignment horizontal="center"/>
    </xf>
    <xf numFmtId="0" fontId="7" fillId="5" borderId="0" xfId="0" applyFont="1" applyFill="1" applyAlignment="1">
      <alignment horizontal="center" vertical="center"/>
    </xf>
    <xf numFmtId="170" fontId="6" fillId="3" borderId="4" xfId="1" applyNumberFormat="1" applyFont="1" applyFill="1" applyBorder="1" applyAlignment="1">
      <alignment horizontal="center"/>
    </xf>
    <xf numFmtId="0" fontId="8" fillId="0" borderId="0" xfId="0" applyFont="1"/>
  </cellXfs>
  <cellStyles count="3">
    <cellStyle name="Comma" xfId="1" builtinId="3"/>
    <cellStyle name="Normal" xfId="0" builtinId="0"/>
    <cellStyle name="Normal 2" xfId="2" xr:uid="{90C1BA29-5BEE-4D9E-AF67-857B9827A5E4}"/>
  </cellStyles>
  <dxfs count="12">
    <dxf>
      <font>
        <b/>
        <i val="0"/>
        <strike val="0"/>
        <condense val="0"/>
        <extend val="0"/>
        <outline val="0"/>
        <shadow val="0"/>
        <u val="none"/>
        <vertAlign val="baseline"/>
        <sz val="11"/>
        <color rgb="FFFFFFFF"/>
        <name val="Calibri"/>
        <family val="2"/>
        <scheme val="none"/>
      </font>
      <fill>
        <patternFill patternType="solid">
          <fgColor rgb="FF003366"/>
          <bgColor rgb="FF1F4E78"/>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family val="2"/>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family val="2"/>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family val="2"/>
        <scheme val="none"/>
      </font>
      <numFmt numFmtId="168" formatCode="\$#,##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family val="2"/>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family val="2"/>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family val="2"/>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family val="2"/>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family val="2"/>
        <scheme val="none"/>
      </font>
      <border diagonalUp="0" diagonalDown="0">
        <left style="thin">
          <color rgb="FFBFBFBF"/>
        </left>
        <right style="thin">
          <color rgb="FFBFBFBF"/>
        </right>
        <top style="thin">
          <color rgb="FFBFBFBF"/>
        </top>
        <bottom style="thin">
          <color rgb="FFBFBFBF"/>
        </bottom>
        <vertical/>
        <horizontal/>
      </border>
    </dxf>
    <dxf>
      <border outline="0">
        <bottom style="thin">
          <color rgb="FFBFBFBF"/>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Job Salary Dashboard-final.xlsx]Pivot!PivotTable5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Salary by Country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Pivot!$A$4:$A$12</c:f>
              <c:strCache>
                <c:ptCount val="8"/>
                <c:pt idx="0">
                  <c:v>Australia</c:v>
                </c:pt>
                <c:pt idx="1">
                  <c:v>Canada</c:v>
                </c:pt>
                <c:pt idx="2">
                  <c:v>Germany</c:v>
                </c:pt>
                <c:pt idx="3">
                  <c:v>India</c:v>
                </c:pt>
                <c:pt idx="4">
                  <c:v>Singapore</c:v>
                </c:pt>
                <c:pt idx="5">
                  <c:v>UAE</c:v>
                </c:pt>
                <c:pt idx="6">
                  <c:v>UK</c:v>
                </c:pt>
                <c:pt idx="7">
                  <c:v>USA</c:v>
                </c:pt>
              </c:strCache>
            </c:strRef>
          </c:cat>
          <c:val>
            <c:numRef>
              <c:f>Pivot!$B$4:$B$12</c:f>
              <c:numCache>
                <c:formatCode>"₹"\ #,##0</c:formatCode>
                <c:ptCount val="8"/>
                <c:pt idx="0">
                  <c:v>96886.363636363632</c:v>
                </c:pt>
                <c:pt idx="1">
                  <c:v>103500</c:v>
                </c:pt>
                <c:pt idx="2">
                  <c:v>100022.72727272728</c:v>
                </c:pt>
                <c:pt idx="3">
                  <c:v>34265.625</c:v>
                </c:pt>
                <c:pt idx="4">
                  <c:v>106788.46153846153</c:v>
                </c:pt>
                <c:pt idx="5">
                  <c:v>84200</c:v>
                </c:pt>
                <c:pt idx="6">
                  <c:v>107840.90909090909</c:v>
                </c:pt>
                <c:pt idx="7">
                  <c:v>115066.66666666667</c:v>
                </c:pt>
              </c:numCache>
            </c:numRef>
          </c:val>
          <c:extLst>
            <c:ext xmlns:c16="http://schemas.microsoft.com/office/drawing/2014/chart" uri="{C3380CC4-5D6E-409C-BE32-E72D297353CC}">
              <c16:uniqueId val="{00000000-25E5-4E38-81BD-A9F6904AA66D}"/>
            </c:ext>
          </c:extLst>
        </c:ser>
        <c:dLbls>
          <c:showLegendKey val="0"/>
          <c:showVal val="0"/>
          <c:showCatName val="0"/>
          <c:showSerName val="0"/>
          <c:showPercent val="0"/>
          <c:showBubbleSize val="0"/>
        </c:dLbls>
        <c:gapWidth val="219"/>
        <c:overlap val="-27"/>
        <c:axId val="246387104"/>
        <c:axId val="100687056"/>
      </c:barChart>
      <c:catAx>
        <c:axId val="24638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87056"/>
        <c:crosses val="autoZero"/>
        <c:auto val="1"/>
        <c:lblAlgn val="ctr"/>
        <c:lblOffset val="100"/>
        <c:noMultiLvlLbl val="0"/>
      </c:catAx>
      <c:valAx>
        <c:axId val="100687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38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Job Salary Dashboard-final.xlsx]Pivot!PivotTable6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Salary by Job Title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Pivot!$G$3</c:f>
              <c:strCache>
                <c:ptCount val="1"/>
                <c:pt idx="0">
                  <c:v>Total</c:v>
                </c:pt>
              </c:strCache>
            </c:strRef>
          </c:tx>
          <c:spPr>
            <a:solidFill>
              <a:schemeClr val="accent1"/>
            </a:solidFill>
            <a:ln>
              <a:noFill/>
            </a:ln>
            <a:effectLst/>
          </c:spPr>
          <c:invertIfNegative val="0"/>
          <c:cat>
            <c:strRef>
              <c:f>Pivot!$F$4:$F$12</c:f>
              <c:strCache>
                <c:ptCount val="8"/>
                <c:pt idx="0">
                  <c:v>Analytics Manager</c:v>
                </c:pt>
                <c:pt idx="1">
                  <c:v>BI Analyst</c:v>
                </c:pt>
                <c:pt idx="2">
                  <c:v>Business Analyst</c:v>
                </c:pt>
                <c:pt idx="3">
                  <c:v>Data Analyst</c:v>
                </c:pt>
                <c:pt idx="4">
                  <c:v>Data Architect</c:v>
                </c:pt>
                <c:pt idx="5">
                  <c:v>Data Engineer</c:v>
                </c:pt>
                <c:pt idx="6">
                  <c:v>Data Scientist</c:v>
                </c:pt>
                <c:pt idx="7">
                  <c:v>Machine Learning Engineer</c:v>
                </c:pt>
              </c:strCache>
            </c:strRef>
          </c:cat>
          <c:val>
            <c:numRef>
              <c:f>Pivot!$G$4:$G$12</c:f>
              <c:numCache>
                <c:formatCode>"₹"\ #,##0</c:formatCode>
                <c:ptCount val="8"/>
                <c:pt idx="0">
                  <c:v>124250</c:v>
                </c:pt>
                <c:pt idx="1">
                  <c:v>59910.714285714283</c:v>
                </c:pt>
                <c:pt idx="2">
                  <c:v>77000</c:v>
                </c:pt>
                <c:pt idx="3">
                  <c:v>52700</c:v>
                </c:pt>
                <c:pt idx="4">
                  <c:v>116089.28571428571</c:v>
                </c:pt>
                <c:pt idx="5">
                  <c:v>91884.61538461539</c:v>
                </c:pt>
                <c:pt idx="6">
                  <c:v>96666.666666666672</c:v>
                </c:pt>
                <c:pt idx="7">
                  <c:v>109586.95652173914</c:v>
                </c:pt>
              </c:numCache>
            </c:numRef>
          </c:val>
          <c:extLst>
            <c:ext xmlns:c16="http://schemas.microsoft.com/office/drawing/2014/chart" uri="{C3380CC4-5D6E-409C-BE32-E72D297353CC}">
              <c16:uniqueId val="{00000000-3475-4469-8B50-A747B4257FFB}"/>
            </c:ext>
          </c:extLst>
        </c:ser>
        <c:dLbls>
          <c:showLegendKey val="0"/>
          <c:showVal val="0"/>
          <c:showCatName val="0"/>
          <c:showSerName val="0"/>
          <c:showPercent val="0"/>
          <c:showBubbleSize val="0"/>
        </c:dLbls>
        <c:gapWidth val="182"/>
        <c:axId val="246383856"/>
        <c:axId val="100798896"/>
      </c:barChart>
      <c:catAx>
        <c:axId val="246383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98896"/>
        <c:crosses val="autoZero"/>
        <c:auto val="1"/>
        <c:lblAlgn val="ctr"/>
        <c:lblOffset val="100"/>
        <c:noMultiLvlLbl val="0"/>
      </c:catAx>
      <c:valAx>
        <c:axId val="1007988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38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Job Salary Dashboard-final.xlsx]Pivot!PivotTable7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Jobs</a:t>
            </a:r>
            <a:r>
              <a:rPr lang="en-IN" baseline="0"/>
              <a:t> by Job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D8-4C42-B035-73B162CA3A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D8-4C42-B035-73B162CA3A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D8-4C42-B035-73B162CA3A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ED8-4C42-B035-73B162CA3A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extLst>
          </c:dLbls>
          <c:cat>
            <c:strRef>
              <c:f>Pivot!$A$16:$A$20</c:f>
              <c:strCache>
                <c:ptCount val="4"/>
                <c:pt idx="0">
                  <c:v>Contract</c:v>
                </c:pt>
                <c:pt idx="1">
                  <c:v>Full-Time</c:v>
                </c:pt>
                <c:pt idx="2">
                  <c:v>Internship</c:v>
                </c:pt>
                <c:pt idx="3">
                  <c:v>Part-Time</c:v>
                </c:pt>
              </c:strCache>
            </c:strRef>
          </c:cat>
          <c:val>
            <c:numRef>
              <c:f>Pivot!$B$16:$B$20</c:f>
              <c:numCache>
                <c:formatCode>General</c:formatCode>
                <c:ptCount val="4"/>
                <c:pt idx="0">
                  <c:v>2841</c:v>
                </c:pt>
                <c:pt idx="1">
                  <c:v>14246</c:v>
                </c:pt>
                <c:pt idx="2">
                  <c:v>1214</c:v>
                </c:pt>
                <c:pt idx="3">
                  <c:v>1799</c:v>
                </c:pt>
              </c:numCache>
            </c:numRef>
          </c:val>
          <c:extLst>
            <c:ext xmlns:c16="http://schemas.microsoft.com/office/drawing/2014/chart" uri="{C3380CC4-5D6E-409C-BE32-E72D297353CC}">
              <c16:uniqueId val="{00000008-3ED8-4C42-B035-73B162CA3AF5}"/>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Job Salary Dashboard-final.xlsx]Pivot!PivotTable8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Job Posting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Pivot!$G$15</c:f>
              <c:strCache>
                <c:ptCount val="1"/>
                <c:pt idx="0">
                  <c:v>Total</c:v>
                </c:pt>
              </c:strCache>
            </c:strRef>
          </c:tx>
          <c:spPr>
            <a:ln w="28575" cap="rnd">
              <a:solidFill>
                <a:schemeClr val="accent1"/>
              </a:solidFill>
              <a:round/>
            </a:ln>
            <a:effectLst/>
          </c:spPr>
          <c:marker>
            <c:symbol val="circle"/>
            <c:size val="7"/>
            <c:spPr>
              <a:solidFill>
                <a:schemeClr val="accent1"/>
              </a:solidFill>
              <a:ln w="9525">
                <a:solidFill>
                  <a:schemeClr val="accent1"/>
                </a:solidFill>
              </a:ln>
              <a:effectLst/>
            </c:spPr>
          </c:marker>
          <c:cat>
            <c:strRef>
              <c:f>Pivot!$F$16:$F$28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Pivot!$G$16:$G$28</c:f>
              <c:numCache>
                <c:formatCode>General</c:formatCode>
                <c:ptCount val="12"/>
                <c:pt idx="0">
                  <c:v>1144</c:v>
                </c:pt>
                <c:pt idx="1">
                  <c:v>1964</c:v>
                </c:pt>
                <c:pt idx="2">
                  <c:v>998</c:v>
                </c:pt>
                <c:pt idx="3">
                  <c:v>1717</c:v>
                </c:pt>
                <c:pt idx="4">
                  <c:v>2006</c:v>
                </c:pt>
                <c:pt idx="5">
                  <c:v>1011</c:v>
                </c:pt>
                <c:pt idx="6">
                  <c:v>2098</c:v>
                </c:pt>
                <c:pt idx="7">
                  <c:v>1454</c:v>
                </c:pt>
                <c:pt idx="8">
                  <c:v>1506</c:v>
                </c:pt>
                <c:pt idx="9">
                  <c:v>1296</c:v>
                </c:pt>
                <c:pt idx="10">
                  <c:v>2839</c:v>
                </c:pt>
                <c:pt idx="11">
                  <c:v>2067</c:v>
                </c:pt>
              </c:numCache>
            </c:numRef>
          </c:val>
          <c:smooth val="0"/>
          <c:extLst>
            <c:ext xmlns:c16="http://schemas.microsoft.com/office/drawing/2014/chart" uri="{C3380CC4-5D6E-409C-BE32-E72D297353CC}">
              <c16:uniqueId val="{00000000-7618-4384-B91D-55A88DBBD00C}"/>
            </c:ext>
          </c:extLst>
        </c:ser>
        <c:dLbls>
          <c:showLegendKey val="0"/>
          <c:showVal val="0"/>
          <c:showCatName val="0"/>
          <c:showSerName val="0"/>
          <c:showPercent val="0"/>
          <c:showBubbleSize val="0"/>
        </c:dLbls>
        <c:marker val="1"/>
        <c:smooth val="0"/>
        <c:axId val="246378752"/>
        <c:axId val="100789296"/>
      </c:lineChart>
      <c:catAx>
        <c:axId val="24637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89296"/>
        <c:crosses val="autoZero"/>
        <c:auto val="1"/>
        <c:lblAlgn val="ctr"/>
        <c:lblOffset val="100"/>
        <c:noMultiLvlLbl val="0"/>
      </c:catAx>
      <c:valAx>
        <c:axId val="100789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378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9525</xdr:colOff>
      <xdr:row>12</xdr:row>
      <xdr:rowOff>190499</xdr:rowOff>
    </xdr:from>
    <xdr:to>
      <xdr:col>8</xdr:col>
      <xdr:colOff>304800</xdr:colOff>
      <xdr:row>27</xdr:row>
      <xdr:rowOff>76166</xdr:rowOff>
    </xdr:to>
    <xdr:graphicFrame macro="">
      <xdr:nvGraphicFramePr>
        <xdr:cNvPr id="2" name="Chart 1">
          <a:extLst>
            <a:ext uri="{FF2B5EF4-FFF2-40B4-BE49-F238E27FC236}">
              <a16:creationId xmlns:a16="http://schemas.microsoft.com/office/drawing/2014/main" id="{B211616D-AB8A-4780-8EDE-99ED206C54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952500</xdr:colOff>
      <xdr:row>12</xdr:row>
      <xdr:rowOff>161925</xdr:rowOff>
    </xdr:from>
    <xdr:to>
      <xdr:col>16</xdr:col>
      <xdr:colOff>133350</xdr:colOff>
      <xdr:row>27</xdr:row>
      <xdr:rowOff>95250</xdr:rowOff>
    </xdr:to>
    <xdr:graphicFrame macro="">
      <xdr:nvGraphicFramePr>
        <xdr:cNvPr id="3" name="Chart 2">
          <a:extLst>
            <a:ext uri="{FF2B5EF4-FFF2-40B4-BE49-F238E27FC236}">
              <a16:creationId xmlns:a16="http://schemas.microsoft.com/office/drawing/2014/main" id="{1B881236-B7EF-41AC-B4DF-70027DD8EE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29</xdr:row>
      <xdr:rowOff>152400</xdr:rowOff>
    </xdr:from>
    <xdr:to>
      <xdr:col>8</xdr:col>
      <xdr:colOff>323850</xdr:colOff>
      <xdr:row>44</xdr:row>
      <xdr:rowOff>38100</xdr:rowOff>
    </xdr:to>
    <xdr:graphicFrame macro="">
      <xdr:nvGraphicFramePr>
        <xdr:cNvPr id="4" name="Chart 3">
          <a:extLst>
            <a:ext uri="{FF2B5EF4-FFF2-40B4-BE49-F238E27FC236}">
              <a16:creationId xmlns:a16="http://schemas.microsoft.com/office/drawing/2014/main" id="{B82CDE8F-DC06-4902-B138-8461C5DCE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9525</xdr:colOff>
      <xdr:row>29</xdr:row>
      <xdr:rowOff>133350</xdr:rowOff>
    </xdr:from>
    <xdr:to>
      <xdr:col>16</xdr:col>
      <xdr:colOff>314325</xdr:colOff>
      <xdr:row>44</xdr:row>
      <xdr:rowOff>19050</xdr:rowOff>
    </xdr:to>
    <xdr:graphicFrame macro="">
      <xdr:nvGraphicFramePr>
        <xdr:cNvPr id="5" name="Chart 4">
          <a:extLst>
            <a:ext uri="{FF2B5EF4-FFF2-40B4-BE49-F238E27FC236}">
              <a16:creationId xmlns:a16="http://schemas.microsoft.com/office/drawing/2014/main" id="{552EF054-7A7C-4D7D-93EC-FB3152648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161924</xdr:colOff>
      <xdr:row>2</xdr:row>
      <xdr:rowOff>619126</xdr:rowOff>
    </xdr:from>
    <xdr:to>
      <xdr:col>19</xdr:col>
      <xdr:colOff>171449</xdr:colOff>
      <xdr:row>7</xdr:row>
      <xdr:rowOff>47625</xdr:rowOff>
    </xdr:to>
    <mc:AlternateContent xmlns:mc="http://schemas.openxmlformats.org/markup-compatibility/2006">
      <mc:Choice xmlns:a14="http://schemas.microsoft.com/office/drawing/2010/main" Requires="a14">
        <xdr:graphicFrame macro="">
          <xdr:nvGraphicFramePr>
            <xdr:cNvPr id="10" name="Country">
              <a:extLst>
                <a:ext uri="{FF2B5EF4-FFF2-40B4-BE49-F238E27FC236}">
                  <a16:creationId xmlns:a16="http://schemas.microsoft.com/office/drawing/2014/main" id="{90A0CA0A-8563-44D0-AD48-9D9502C3D33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3230224" y="1285876"/>
              <a:ext cx="1838325" cy="1238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171450</xdr:colOff>
      <xdr:row>7</xdr:row>
      <xdr:rowOff>161926</xdr:rowOff>
    </xdr:from>
    <xdr:to>
      <xdr:col>19</xdr:col>
      <xdr:colOff>171450</xdr:colOff>
      <xdr:row>14</xdr:row>
      <xdr:rowOff>76201</xdr:rowOff>
    </xdr:to>
    <mc:AlternateContent xmlns:mc="http://schemas.openxmlformats.org/markup-compatibility/2006">
      <mc:Choice xmlns:a14="http://schemas.microsoft.com/office/drawing/2010/main" Requires="a14">
        <xdr:graphicFrame macro="">
          <xdr:nvGraphicFramePr>
            <xdr:cNvPr id="11" name="Job Type">
              <a:extLst>
                <a:ext uri="{FF2B5EF4-FFF2-40B4-BE49-F238E27FC236}">
                  <a16:creationId xmlns:a16="http://schemas.microsoft.com/office/drawing/2014/main" id="{C665CA48-2F08-4050-96E2-C065A62BE449}"/>
                </a:ext>
              </a:extLst>
            </xdr:cNvPr>
            <xdr:cNvGraphicFramePr/>
          </xdr:nvGraphicFramePr>
          <xdr:xfrm>
            <a:off x="0" y="0"/>
            <a:ext cx="0" cy="0"/>
          </xdr:xfrm>
          <a:graphic>
            <a:graphicData uri="http://schemas.microsoft.com/office/drawing/2010/slicer">
              <sle:slicer xmlns:sle="http://schemas.microsoft.com/office/drawing/2010/slicer" name="Job Type"/>
            </a:graphicData>
          </a:graphic>
        </xdr:graphicFrame>
      </mc:Choice>
      <mc:Fallback>
        <xdr:sp macro="" textlink="">
          <xdr:nvSpPr>
            <xdr:cNvPr id="0" name=""/>
            <xdr:cNvSpPr>
              <a:spLocks noTextEdit="1"/>
            </xdr:cNvSpPr>
          </xdr:nvSpPr>
          <xdr:spPr>
            <a:xfrm>
              <a:off x="13239750" y="2638426"/>
              <a:ext cx="1828800" cy="1276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171450</xdr:colOff>
      <xdr:row>14</xdr:row>
      <xdr:rowOff>180975</xdr:rowOff>
    </xdr:from>
    <xdr:to>
      <xdr:col>19</xdr:col>
      <xdr:colOff>171450</xdr:colOff>
      <xdr:row>21</xdr:row>
      <xdr:rowOff>85725</xdr:rowOff>
    </xdr:to>
    <mc:AlternateContent xmlns:mc="http://schemas.openxmlformats.org/markup-compatibility/2006">
      <mc:Choice xmlns:a14="http://schemas.microsoft.com/office/drawing/2010/main" Requires="a14">
        <xdr:graphicFrame macro="">
          <xdr:nvGraphicFramePr>
            <xdr:cNvPr id="12" name="Experience Level">
              <a:extLst>
                <a:ext uri="{FF2B5EF4-FFF2-40B4-BE49-F238E27FC236}">
                  <a16:creationId xmlns:a16="http://schemas.microsoft.com/office/drawing/2014/main" id="{E17C43AB-CCD1-4230-B493-5D892C107E67}"/>
                </a:ext>
              </a:extLst>
            </xdr:cNvPr>
            <xdr:cNvGraphicFramePr/>
          </xdr:nvGraphicFramePr>
          <xdr:xfrm>
            <a:off x="0" y="0"/>
            <a:ext cx="0" cy="0"/>
          </xdr:xfrm>
          <a:graphic>
            <a:graphicData uri="http://schemas.microsoft.com/office/drawing/2010/slicer">
              <sle:slicer xmlns:sle="http://schemas.microsoft.com/office/drawing/2010/slicer" name="Experience Level"/>
            </a:graphicData>
          </a:graphic>
        </xdr:graphicFrame>
      </mc:Choice>
      <mc:Fallback>
        <xdr:sp macro="" textlink="">
          <xdr:nvSpPr>
            <xdr:cNvPr id="0" name=""/>
            <xdr:cNvSpPr>
              <a:spLocks noTextEdit="1"/>
            </xdr:cNvSpPr>
          </xdr:nvSpPr>
          <xdr:spPr>
            <a:xfrm>
              <a:off x="13239750" y="4019550"/>
              <a:ext cx="1828800"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9</xdr:col>
      <xdr:colOff>457200</xdr:colOff>
      <xdr:row>2</xdr:row>
      <xdr:rowOff>57150</xdr:rowOff>
    </xdr:from>
    <xdr:ext cx="184731" cy="264560"/>
    <xdr:sp macro="" textlink="">
      <xdr:nvSpPr>
        <xdr:cNvPr id="15" name="TextBox 14">
          <a:extLst>
            <a:ext uri="{FF2B5EF4-FFF2-40B4-BE49-F238E27FC236}">
              <a16:creationId xmlns:a16="http://schemas.microsoft.com/office/drawing/2014/main" id="{456A6EE6-820B-0E70-2DB8-4A5601E80735}"/>
            </a:ext>
          </a:extLst>
        </xdr:cNvPr>
        <xdr:cNvSpPr txBox="1"/>
      </xdr:nvSpPr>
      <xdr:spPr>
        <a:xfrm>
          <a:off x="7658100" y="723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5</xdr:col>
      <xdr:colOff>1276350</xdr:colOff>
      <xdr:row>2</xdr:row>
      <xdr:rowOff>333375</xdr:rowOff>
    </xdr:from>
    <xdr:ext cx="7160102" cy="248851"/>
    <xdr:sp macro="" textlink="">
      <xdr:nvSpPr>
        <xdr:cNvPr id="16" name="TextBox 15">
          <a:extLst>
            <a:ext uri="{FF2B5EF4-FFF2-40B4-BE49-F238E27FC236}">
              <a16:creationId xmlns:a16="http://schemas.microsoft.com/office/drawing/2014/main" id="{44A9D09E-F526-871C-1CA3-672E59D2B200}"/>
            </a:ext>
          </a:extLst>
        </xdr:cNvPr>
        <xdr:cNvSpPr txBox="1"/>
      </xdr:nvSpPr>
      <xdr:spPr>
        <a:xfrm>
          <a:off x="4752975" y="1000125"/>
          <a:ext cx="7160102" cy="24885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000">
              <a:solidFill>
                <a:schemeClr val="bg2">
                  <a:lumMod val="50000"/>
                </a:schemeClr>
              </a:solidFill>
            </a:rPr>
            <a:t>Data Science Job Salary Analysis Dashboard | Interactive Excel Dashboard using Pivot Tables, Pivot Charts, Slicers &amp; Dynamic Formulas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ILA ANU" refreshedDate="46211.828040972221" createdVersion="8" refreshedVersion="8" minRefreshableVersion="3" recordCount="200" xr:uid="{5BB20E6E-9733-4C7A-AF59-CBBFF93F01F4}">
  <cacheSource type="worksheet">
    <worksheetSource name="JobData"/>
  </cacheSource>
  <cacheFields count="9">
    <cacheField name="Job ID" numFmtId="0">
      <sharedItems containsSemiMixedTypes="0" containsString="0" containsNumber="1" containsInteger="1" minValue="1" maxValue="200"/>
    </cacheField>
    <cacheField name="Job Title" numFmtId="0">
      <sharedItems count="8">
        <s v="Data Scientist"/>
        <s v="Data Engineer"/>
        <s v="BI Analyst"/>
        <s v="Machine Learning Engineer"/>
        <s v="Business Analyst"/>
        <s v="Analytics Manager"/>
        <s v="Data Analyst"/>
        <s v="Data Architect"/>
      </sharedItems>
    </cacheField>
    <cacheField name="Country" numFmtId="0">
      <sharedItems count="8">
        <s v="USA"/>
        <s v="UAE"/>
        <s v="Germany"/>
        <s v="Australia"/>
        <s v="Canada"/>
        <s v="Singapore"/>
        <s v="India"/>
        <s v="UK"/>
      </sharedItems>
    </cacheField>
    <cacheField name="Job Type" numFmtId="0">
      <sharedItems count="4">
        <s v="Full-Time"/>
        <s v="Part-Time"/>
        <s v="Contract"/>
        <s v="Internship"/>
      </sharedItems>
    </cacheField>
    <cacheField name="Company" numFmtId="0">
      <sharedItems/>
    </cacheField>
    <cacheField name="Median Salary" numFmtId="168">
      <sharedItems containsSemiMixedTypes="0" containsString="0" containsNumber="1" containsInteger="1" minValue="11500" maxValue="277000"/>
    </cacheField>
    <cacheField name="Job Posting Month" numFmtId="0">
      <sharedItems count="12">
        <s v="December"/>
        <s v="September"/>
        <s v="March"/>
        <s v="July"/>
        <s v="April"/>
        <s v="November"/>
        <s v="May"/>
        <s v="June"/>
        <s v="January"/>
        <s v="August"/>
        <s v="October"/>
        <s v="February"/>
      </sharedItems>
    </cacheField>
    <cacheField name="Experience Level" numFmtId="0">
      <sharedItems count="3">
        <s v="Entry Level"/>
        <s v="Mid Level"/>
        <s v="Senior Level"/>
      </sharedItems>
    </cacheField>
    <cacheField name="Work Mode" numFmtId="0">
      <sharedItems/>
    </cacheField>
  </cacheFields>
  <extLst>
    <ext xmlns:x14="http://schemas.microsoft.com/office/spreadsheetml/2009/9/main" uri="{725AE2AE-9491-48be-B2B4-4EB974FC3084}">
      <x14:pivotCacheDefinition pivotCacheId="10875021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x v="0"/>
    <x v="0"/>
    <x v="0"/>
    <s v="Meta"/>
    <n v="79500"/>
    <x v="0"/>
    <x v="0"/>
    <s v="Remote"/>
  </r>
  <r>
    <n v="2"/>
    <x v="0"/>
    <x v="1"/>
    <x v="0"/>
    <s v="Microsoft"/>
    <n v="60000"/>
    <x v="1"/>
    <x v="0"/>
    <s v="Remote"/>
  </r>
  <r>
    <n v="3"/>
    <x v="1"/>
    <x v="1"/>
    <x v="0"/>
    <s v="SAP"/>
    <n v="89000"/>
    <x v="2"/>
    <x v="1"/>
    <s v="Remote"/>
  </r>
  <r>
    <n v="4"/>
    <x v="2"/>
    <x v="2"/>
    <x v="0"/>
    <s v="Capgemini"/>
    <n v="37500"/>
    <x v="3"/>
    <x v="0"/>
    <s v="Remote"/>
  </r>
  <r>
    <n v="5"/>
    <x v="2"/>
    <x v="2"/>
    <x v="1"/>
    <s v="Flipkart"/>
    <n v="89500"/>
    <x v="3"/>
    <x v="2"/>
    <s v="Remote"/>
  </r>
  <r>
    <n v="6"/>
    <x v="3"/>
    <x v="3"/>
    <x v="0"/>
    <s v="Microsoft"/>
    <n v="79000"/>
    <x v="4"/>
    <x v="0"/>
    <s v="Hybrid"/>
  </r>
  <r>
    <n v="7"/>
    <x v="0"/>
    <x v="4"/>
    <x v="2"/>
    <s v="PwC"/>
    <n v="111500"/>
    <x v="5"/>
    <x v="1"/>
    <s v="Onsite"/>
  </r>
  <r>
    <n v="8"/>
    <x v="4"/>
    <x v="3"/>
    <x v="0"/>
    <s v="IBM"/>
    <n v="98000"/>
    <x v="5"/>
    <x v="2"/>
    <s v="Hybrid"/>
  </r>
  <r>
    <n v="9"/>
    <x v="4"/>
    <x v="4"/>
    <x v="0"/>
    <s v="PwC"/>
    <n v="72500"/>
    <x v="0"/>
    <x v="1"/>
    <s v="Hybrid"/>
  </r>
  <r>
    <n v="10"/>
    <x v="2"/>
    <x v="0"/>
    <x v="0"/>
    <s v="Amazon"/>
    <n v="76500"/>
    <x v="6"/>
    <x v="1"/>
    <s v="Onsite"/>
  </r>
  <r>
    <n v="11"/>
    <x v="2"/>
    <x v="4"/>
    <x v="0"/>
    <s v="PwC"/>
    <n v="94500"/>
    <x v="2"/>
    <x v="2"/>
    <s v="Onsite"/>
  </r>
  <r>
    <n v="12"/>
    <x v="1"/>
    <x v="2"/>
    <x v="0"/>
    <s v="Cognizant"/>
    <n v="144000"/>
    <x v="7"/>
    <x v="2"/>
    <s v="Onsite"/>
  </r>
  <r>
    <n v="13"/>
    <x v="4"/>
    <x v="5"/>
    <x v="0"/>
    <s v="Amazon"/>
    <n v="45500"/>
    <x v="5"/>
    <x v="0"/>
    <s v="Remote"/>
  </r>
  <r>
    <n v="14"/>
    <x v="5"/>
    <x v="6"/>
    <x v="0"/>
    <s v="HCL"/>
    <n v="42000"/>
    <x v="6"/>
    <x v="1"/>
    <s v="Hybrid"/>
  </r>
  <r>
    <n v="15"/>
    <x v="6"/>
    <x v="6"/>
    <x v="0"/>
    <s v="Oracle"/>
    <n v="18000"/>
    <x v="7"/>
    <x v="1"/>
    <s v="Hybrid"/>
  </r>
  <r>
    <n v="16"/>
    <x v="5"/>
    <x v="7"/>
    <x v="0"/>
    <s v="IBM"/>
    <n v="205500"/>
    <x v="1"/>
    <x v="2"/>
    <s v="Remote"/>
  </r>
  <r>
    <n v="17"/>
    <x v="3"/>
    <x v="4"/>
    <x v="0"/>
    <s v="Deloitte"/>
    <n v="176500"/>
    <x v="8"/>
    <x v="2"/>
    <s v="Hybrid"/>
  </r>
  <r>
    <n v="18"/>
    <x v="7"/>
    <x v="0"/>
    <x v="0"/>
    <s v="EY"/>
    <n v="159500"/>
    <x v="8"/>
    <x v="1"/>
    <s v="Remote"/>
  </r>
  <r>
    <n v="19"/>
    <x v="0"/>
    <x v="6"/>
    <x v="0"/>
    <s v="Microsoft"/>
    <n v="51500"/>
    <x v="2"/>
    <x v="2"/>
    <s v="Remote"/>
  </r>
  <r>
    <n v="20"/>
    <x v="4"/>
    <x v="2"/>
    <x v="0"/>
    <s v="HCL"/>
    <n v="71500"/>
    <x v="1"/>
    <x v="1"/>
    <s v="Remote"/>
  </r>
  <r>
    <n v="21"/>
    <x v="1"/>
    <x v="2"/>
    <x v="0"/>
    <s v="EY"/>
    <n v="87500"/>
    <x v="9"/>
    <x v="1"/>
    <s v="Hybrid"/>
  </r>
  <r>
    <n v="22"/>
    <x v="1"/>
    <x v="6"/>
    <x v="0"/>
    <s v="SAP"/>
    <n v="44500"/>
    <x v="10"/>
    <x v="2"/>
    <s v="Remote"/>
  </r>
  <r>
    <n v="23"/>
    <x v="0"/>
    <x v="0"/>
    <x v="0"/>
    <s v="Amazon"/>
    <n v="126000"/>
    <x v="1"/>
    <x v="1"/>
    <s v="Remote"/>
  </r>
  <r>
    <n v="24"/>
    <x v="7"/>
    <x v="4"/>
    <x v="0"/>
    <s v="SAP"/>
    <n v="209500"/>
    <x v="4"/>
    <x v="2"/>
    <s v="Onsite"/>
  </r>
  <r>
    <n v="25"/>
    <x v="5"/>
    <x v="4"/>
    <x v="0"/>
    <s v="Cognizant"/>
    <n v="120000"/>
    <x v="3"/>
    <x v="1"/>
    <s v="Onsite"/>
  </r>
  <r>
    <n v="26"/>
    <x v="6"/>
    <x v="6"/>
    <x v="0"/>
    <s v="Capgemini"/>
    <n v="11500"/>
    <x v="4"/>
    <x v="0"/>
    <s v="Remote"/>
  </r>
  <r>
    <n v="27"/>
    <x v="7"/>
    <x v="7"/>
    <x v="0"/>
    <s v="IBM"/>
    <n v="136500"/>
    <x v="11"/>
    <x v="1"/>
    <s v="Remote"/>
  </r>
  <r>
    <n v="28"/>
    <x v="0"/>
    <x v="0"/>
    <x v="0"/>
    <s v="Oracle"/>
    <n v="80500"/>
    <x v="4"/>
    <x v="0"/>
    <s v="Remote"/>
  </r>
  <r>
    <n v="29"/>
    <x v="7"/>
    <x v="5"/>
    <x v="0"/>
    <s v="PwC"/>
    <n v="81000"/>
    <x v="3"/>
    <x v="0"/>
    <s v="Remote"/>
  </r>
  <r>
    <n v="30"/>
    <x v="5"/>
    <x v="2"/>
    <x v="2"/>
    <s v="Flipkart"/>
    <n v="126000"/>
    <x v="0"/>
    <x v="1"/>
    <s v="Onsite"/>
  </r>
  <r>
    <n v="31"/>
    <x v="7"/>
    <x v="7"/>
    <x v="0"/>
    <s v="Accenture"/>
    <n v="90500"/>
    <x v="0"/>
    <x v="0"/>
    <s v="Hybrid"/>
  </r>
  <r>
    <n v="32"/>
    <x v="2"/>
    <x v="0"/>
    <x v="0"/>
    <s v="Netflix"/>
    <n v="115000"/>
    <x v="2"/>
    <x v="2"/>
    <s v="Hybrid"/>
  </r>
  <r>
    <n v="33"/>
    <x v="0"/>
    <x v="7"/>
    <x v="0"/>
    <s v="Microsoft"/>
    <n v="151500"/>
    <x v="3"/>
    <x v="2"/>
    <s v="Remote"/>
  </r>
  <r>
    <n v="34"/>
    <x v="1"/>
    <x v="0"/>
    <x v="0"/>
    <s v="Cognizant"/>
    <n v="190000"/>
    <x v="10"/>
    <x v="2"/>
    <s v="Hybrid"/>
  </r>
  <r>
    <n v="35"/>
    <x v="3"/>
    <x v="4"/>
    <x v="0"/>
    <s v="Capgemini"/>
    <n v="69500"/>
    <x v="3"/>
    <x v="0"/>
    <s v="Onsite"/>
  </r>
  <r>
    <n v="36"/>
    <x v="3"/>
    <x v="5"/>
    <x v="0"/>
    <s v="Microsoft"/>
    <n v="86500"/>
    <x v="10"/>
    <x v="0"/>
    <s v="Onsite"/>
  </r>
  <r>
    <n v="37"/>
    <x v="0"/>
    <x v="6"/>
    <x v="0"/>
    <s v="Adobe"/>
    <n v="36000"/>
    <x v="7"/>
    <x v="1"/>
    <s v="Remote"/>
  </r>
  <r>
    <n v="38"/>
    <x v="1"/>
    <x v="3"/>
    <x v="0"/>
    <s v="Flipkart"/>
    <n v="152000"/>
    <x v="6"/>
    <x v="2"/>
    <s v="Hybrid"/>
  </r>
  <r>
    <n v="39"/>
    <x v="6"/>
    <x v="2"/>
    <x v="2"/>
    <s v="TCS"/>
    <n v="40500"/>
    <x v="11"/>
    <x v="0"/>
    <s v="Onsite"/>
  </r>
  <r>
    <n v="40"/>
    <x v="4"/>
    <x v="2"/>
    <x v="0"/>
    <s v="Accenture"/>
    <n v="106000"/>
    <x v="4"/>
    <x v="2"/>
    <s v="Onsite"/>
  </r>
  <r>
    <n v="41"/>
    <x v="3"/>
    <x v="5"/>
    <x v="0"/>
    <s v="Amazon"/>
    <n v="83500"/>
    <x v="3"/>
    <x v="0"/>
    <s v="Hybrid"/>
  </r>
  <r>
    <n v="42"/>
    <x v="6"/>
    <x v="0"/>
    <x v="0"/>
    <s v="Infosys"/>
    <n v="121000"/>
    <x v="2"/>
    <x v="2"/>
    <s v="Onsite"/>
  </r>
  <r>
    <n v="43"/>
    <x v="5"/>
    <x v="0"/>
    <x v="0"/>
    <s v="Infosys"/>
    <n v="235000"/>
    <x v="7"/>
    <x v="2"/>
    <s v="Remote"/>
  </r>
  <r>
    <n v="44"/>
    <x v="4"/>
    <x v="1"/>
    <x v="0"/>
    <s v="Wipro"/>
    <n v="58000"/>
    <x v="7"/>
    <x v="1"/>
    <s v="Remote"/>
  </r>
  <r>
    <n v="45"/>
    <x v="1"/>
    <x v="6"/>
    <x v="0"/>
    <s v="Oracle"/>
    <n v="29500"/>
    <x v="0"/>
    <x v="1"/>
    <s v="Hybrid"/>
  </r>
  <r>
    <n v="46"/>
    <x v="1"/>
    <x v="7"/>
    <x v="3"/>
    <s v="Deloitte"/>
    <n v="108500"/>
    <x v="2"/>
    <x v="1"/>
    <s v="Remote"/>
  </r>
  <r>
    <n v="47"/>
    <x v="2"/>
    <x v="1"/>
    <x v="1"/>
    <s v="Meta"/>
    <n v="52500"/>
    <x v="0"/>
    <x v="1"/>
    <s v="Remote"/>
  </r>
  <r>
    <n v="48"/>
    <x v="6"/>
    <x v="5"/>
    <x v="0"/>
    <s v="Flipkart"/>
    <n v="59500"/>
    <x v="4"/>
    <x v="1"/>
    <s v="Onsite"/>
  </r>
  <r>
    <n v="49"/>
    <x v="1"/>
    <x v="1"/>
    <x v="0"/>
    <s v="Microsoft"/>
    <n v="85500"/>
    <x v="5"/>
    <x v="1"/>
    <s v="Onsite"/>
  </r>
  <r>
    <n v="50"/>
    <x v="2"/>
    <x v="0"/>
    <x v="0"/>
    <s v="IBM"/>
    <n v="49500"/>
    <x v="6"/>
    <x v="0"/>
    <s v="Hybrid"/>
  </r>
  <r>
    <n v="51"/>
    <x v="5"/>
    <x v="3"/>
    <x v="0"/>
    <s v="Capgemini"/>
    <n v="111500"/>
    <x v="1"/>
    <x v="1"/>
    <s v="Hybrid"/>
  </r>
  <r>
    <n v="52"/>
    <x v="1"/>
    <x v="2"/>
    <x v="0"/>
    <s v="Cognizant"/>
    <n v="63500"/>
    <x v="1"/>
    <x v="0"/>
    <s v="Hybrid"/>
  </r>
  <r>
    <n v="53"/>
    <x v="1"/>
    <x v="3"/>
    <x v="0"/>
    <s v="Capgemini"/>
    <n v="159000"/>
    <x v="5"/>
    <x v="2"/>
    <s v="Onsite"/>
  </r>
  <r>
    <n v="54"/>
    <x v="3"/>
    <x v="2"/>
    <x v="0"/>
    <s v="Capgemini"/>
    <n v="111500"/>
    <x v="6"/>
    <x v="1"/>
    <s v="Hybrid"/>
  </r>
  <r>
    <n v="55"/>
    <x v="1"/>
    <x v="1"/>
    <x v="0"/>
    <s v="PwC"/>
    <n v="131000"/>
    <x v="2"/>
    <x v="2"/>
    <s v="Hybrid"/>
  </r>
  <r>
    <n v="56"/>
    <x v="3"/>
    <x v="1"/>
    <x v="0"/>
    <s v="Google"/>
    <n v="98500"/>
    <x v="4"/>
    <x v="1"/>
    <s v="Onsite"/>
  </r>
  <r>
    <n v="57"/>
    <x v="2"/>
    <x v="5"/>
    <x v="0"/>
    <s v="Accenture"/>
    <n v="96500"/>
    <x v="0"/>
    <x v="2"/>
    <s v="Onsite"/>
  </r>
  <r>
    <n v="58"/>
    <x v="0"/>
    <x v="2"/>
    <x v="0"/>
    <s v="HCL"/>
    <n v="103000"/>
    <x v="4"/>
    <x v="1"/>
    <s v="Remote"/>
  </r>
  <r>
    <n v="59"/>
    <x v="1"/>
    <x v="4"/>
    <x v="0"/>
    <s v="Amazon"/>
    <n v="69000"/>
    <x v="10"/>
    <x v="0"/>
    <s v="Onsite"/>
  </r>
  <r>
    <n v="60"/>
    <x v="0"/>
    <x v="5"/>
    <x v="0"/>
    <s v="SAP"/>
    <n v="69500"/>
    <x v="0"/>
    <x v="0"/>
    <s v="Hybrid"/>
  </r>
  <r>
    <n v="61"/>
    <x v="5"/>
    <x v="4"/>
    <x v="0"/>
    <s v="Google"/>
    <n v="73500"/>
    <x v="4"/>
    <x v="0"/>
    <s v="Onsite"/>
  </r>
  <r>
    <n v="62"/>
    <x v="7"/>
    <x v="0"/>
    <x v="0"/>
    <s v="TCS"/>
    <n v="173500"/>
    <x v="9"/>
    <x v="1"/>
    <s v="Remote"/>
  </r>
  <r>
    <n v="63"/>
    <x v="2"/>
    <x v="5"/>
    <x v="0"/>
    <s v="Adobe"/>
    <n v="74500"/>
    <x v="9"/>
    <x v="1"/>
    <s v="Hybrid"/>
  </r>
  <r>
    <n v="64"/>
    <x v="7"/>
    <x v="5"/>
    <x v="0"/>
    <s v="Meta"/>
    <n v="206500"/>
    <x v="1"/>
    <x v="2"/>
    <s v="Onsite"/>
  </r>
  <r>
    <n v="65"/>
    <x v="1"/>
    <x v="2"/>
    <x v="0"/>
    <s v="Wipro"/>
    <n v="59000"/>
    <x v="7"/>
    <x v="0"/>
    <s v="Onsite"/>
  </r>
  <r>
    <n v="66"/>
    <x v="0"/>
    <x v="7"/>
    <x v="0"/>
    <s v="PwC"/>
    <n v="154500"/>
    <x v="0"/>
    <x v="2"/>
    <s v="Remote"/>
  </r>
  <r>
    <n v="67"/>
    <x v="5"/>
    <x v="1"/>
    <x v="0"/>
    <s v="Flipkart"/>
    <n v="111500"/>
    <x v="4"/>
    <x v="1"/>
    <s v="Remote"/>
  </r>
  <r>
    <n v="68"/>
    <x v="5"/>
    <x v="0"/>
    <x v="2"/>
    <s v="SAP"/>
    <n v="167500"/>
    <x v="8"/>
    <x v="1"/>
    <s v="Onsite"/>
  </r>
  <r>
    <n v="69"/>
    <x v="3"/>
    <x v="1"/>
    <x v="2"/>
    <s v="Cognizant"/>
    <n v="151000"/>
    <x v="0"/>
    <x v="2"/>
    <s v="Hybrid"/>
  </r>
  <r>
    <n v="70"/>
    <x v="1"/>
    <x v="5"/>
    <x v="0"/>
    <s v="Cognizant"/>
    <n v="100000"/>
    <x v="3"/>
    <x v="1"/>
    <s v="Remote"/>
  </r>
  <r>
    <n v="71"/>
    <x v="5"/>
    <x v="7"/>
    <x v="2"/>
    <s v="Infosys"/>
    <n v="205000"/>
    <x v="8"/>
    <x v="2"/>
    <s v="Hybrid"/>
  </r>
  <r>
    <n v="72"/>
    <x v="6"/>
    <x v="6"/>
    <x v="0"/>
    <s v="Infosys"/>
    <n v="18500"/>
    <x v="8"/>
    <x v="1"/>
    <s v="Remote"/>
  </r>
  <r>
    <n v="73"/>
    <x v="2"/>
    <x v="4"/>
    <x v="0"/>
    <s v="Capgemini"/>
    <n v="62500"/>
    <x v="3"/>
    <x v="1"/>
    <s v="Onsite"/>
  </r>
  <r>
    <n v="74"/>
    <x v="0"/>
    <x v="5"/>
    <x v="0"/>
    <s v="Oracle"/>
    <n v="73000"/>
    <x v="4"/>
    <x v="0"/>
    <s v="Onsite"/>
  </r>
  <r>
    <n v="75"/>
    <x v="6"/>
    <x v="0"/>
    <x v="2"/>
    <s v="Accenture"/>
    <n v="47500"/>
    <x v="2"/>
    <x v="0"/>
    <s v="Hybrid"/>
  </r>
  <r>
    <n v="76"/>
    <x v="7"/>
    <x v="6"/>
    <x v="0"/>
    <s v="Accenture"/>
    <n v="44000"/>
    <x v="6"/>
    <x v="1"/>
    <s v="Hybrid"/>
  </r>
  <r>
    <n v="77"/>
    <x v="4"/>
    <x v="6"/>
    <x v="1"/>
    <s v="Deloitte"/>
    <n v="20500"/>
    <x v="10"/>
    <x v="1"/>
    <s v="Remote"/>
  </r>
  <r>
    <n v="78"/>
    <x v="3"/>
    <x v="1"/>
    <x v="0"/>
    <s v="Accenture"/>
    <n v="69000"/>
    <x v="0"/>
    <x v="0"/>
    <s v="Hybrid"/>
  </r>
  <r>
    <n v="79"/>
    <x v="1"/>
    <x v="6"/>
    <x v="0"/>
    <s v="Wipro"/>
    <n v="50000"/>
    <x v="11"/>
    <x v="2"/>
    <s v="Hybrid"/>
  </r>
  <r>
    <n v="80"/>
    <x v="6"/>
    <x v="3"/>
    <x v="0"/>
    <s v="EY"/>
    <n v="38000"/>
    <x v="5"/>
    <x v="0"/>
    <s v="Hybrid"/>
  </r>
  <r>
    <n v="81"/>
    <x v="5"/>
    <x v="5"/>
    <x v="0"/>
    <s v="EY"/>
    <n v="176500"/>
    <x v="0"/>
    <x v="2"/>
    <s v="Onsite"/>
  </r>
  <r>
    <n v="82"/>
    <x v="4"/>
    <x v="2"/>
    <x v="0"/>
    <s v="Oracle"/>
    <n v="72500"/>
    <x v="3"/>
    <x v="1"/>
    <s v="Onsite"/>
  </r>
  <r>
    <n v="83"/>
    <x v="3"/>
    <x v="3"/>
    <x v="2"/>
    <s v="Microsoft"/>
    <n v="121500"/>
    <x v="4"/>
    <x v="1"/>
    <s v="Onsite"/>
  </r>
  <r>
    <n v="84"/>
    <x v="5"/>
    <x v="3"/>
    <x v="0"/>
    <s v="Capgemini"/>
    <n v="76500"/>
    <x v="4"/>
    <x v="0"/>
    <s v="Onsite"/>
  </r>
  <r>
    <n v="85"/>
    <x v="3"/>
    <x v="3"/>
    <x v="0"/>
    <s v="HCL"/>
    <n v="156500"/>
    <x v="1"/>
    <x v="2"/>
    <s v="Onsite"/>
  </r>
  <r>
    <n v="86"/>
    <x v="1"/>
    <x v="6"/>
    <x v="0"/>
    <s v="Cognizant"/>
    <n v="32500"/>
    <x v="4"/>
    <x v="1"/>
    <s v="Hybrid"/>
  </r>
  <r>
    <n v="87"/>
    <x v="7"/>
    <x v="5"/>
    <x v="1"/>
    <s v="Microsoft"/>
    <n v="143500"/>
    <x v="3"/>
    <x v="1"/>
    <s v="Remote"/>
  </r>
  <r>
    <n v="88"/>
    <x v="3"/>
    <x v="3"/>
    <x v="0"/>
    <s v="Adobe"/>
    <n v="116500"/>
    <x v="0"/>
    <x v="1"/>
    <s v="Onsite"/>
  </r>
  <r>
    <n v="89"/>
    <x v="2"/>
    <x v="5"/>
    <x v="0"/>
    <s v="IBM"/>
    <n v="42000"/>
    <x v="0"/>
    <x v="0"/>
    <s v="Remote"/>
  </r>
  <r>
    <n v="90"/>
    <x v="0"/>
    <x v="7"/>
    <x v="0"/>
    <s v="Netflix"/>
    <n v="119500"/>
    <x v="10"/>
    <x v="1"/>
    <s v="Hybrid"/>
  </r>
  <r>
    <n v="91"/>
    <x v="3"/>
    <x v="6"/>
    <x v="2"/>
    <s v="Wipro"/>
    <n v="23000"/>
    <x v="2"/>
    <x v="0"/>
    <s v="Onsite"/>
  </r>
  <r>
    <n v="92"/>
    <x v="4"/>
    <x v="2"/>
    <x v="0"/>
    <s v="Amazon"/>
    <n v="111500"/>
    <x v="0"/>
    <x v="2"/>
    <s v="Onsite"/>
  </r>
  <r>
    <n v="93"/>
    <x v="7"/>
    <x v="6"/>
    <x v="2"/>
    <s v="SAP"/>
    <n v="41500"/>
    <x v="9"/>
    <x v="1"/>
    <s v="Onsite"/>
  </r>
  <r>
    <n v="94"/>
    <x v="4"/>
    <x v="0"/>
    <x v="0"/>
    <s v="Netflix"/>
    <n v="59000"/>
    <x v="3"/>
    <x v="0"/>
    <s v="Remote"/>
  </r>
  <r>
    <n v="95"/>
    <x v="6"/>
    <x v="7"/>
    <x v="0"/>
    <s v="SAP"/>
    <n v="58500"/>
    <x v="4"/>
    <x v="1"/>
    <s v="Remote"/>
  </r>
  <r>
    <n v="96"/>
    <x v="5"/>
    <x v="4"/>
    <x v="1"/>
    <s v="PwC"/>
    <n v="129500"/>
    <x v="6"/>
    <x v="1"/>
    <s v="Onsite"/>
  </r>
  <r>
    <n v="97"/>
    <x v="5"/>
    <x v="2"/>
    <x v="0"/>
    <s v="Amazon"/>
    <n v="189000"/>
    <x v="11"/>
    <x v="2"/>
    <s v="Hybrid"/>
  </r>
  <r>
    <n v="98"/>
    <x v="1"/>
    <x v="4"/>
    <x v="0"/>
    <s v="Microsoft"/>
    <n v="65000"/>
    <x v="2"/>
    <x v="0"/>
    <s v="Remote"/>
  </r>
  <r>
    <n v="99"/>
    <x v="4"/>
    <x v="0"/>
    <x v="0"/>
    <s v="HCL"/>
    <n v="86000"/>
    <x v="8"/>
    <x v="1"/>
    <s v="Onsite"/>
  </r>
  <r>
    <n v="100"/>
    <x v="3"/>
    <x v="5"/>
    <x v="0"/>
    <s v="Meta"/>
    <n v="124500"/>
    <x v="10"/>
    <x v="1"/>
    <s v="Hybrid"/>
  </r>
  <r>
    <n v="101"/>
    <x v="1"/>
    <x v="1"/>
    <x v="0"/>
    <s v="Meta"/>
    <n v="136500"/>
    <x v="6"/>
    <x v="2"/>
    <s v="Remote"/>
  </r>
  <r>
    <n v="102"/>
    <x v="0"/>
    <x v="0"/>
    <x v="0"/>
    <s v="Wipro"/>
    <n v="216500"/>
    <x v="10"/>
    <x v="2"/>
    <s v="Hybrid"/>
  </r>
  <r>
    <n v="103"/>
    <x v="7"/>
    <x v="6"/>
    <x v="0"/>
    <s v="Wipro"/>
    <n v="63000"/>
    <x v="6"/>
    <x v="2"/>
    <s v="Onsite"/>
  </r>
  <r>
    <n v="104"/>
    <x v="7"/>
    <x v="5"/>
    <x v="0"/>
    <s v="Amazon"/>
    <n v="141000"/>
    <x v="7"/>
    <x v="1"/>
    <s v="Hybrid"/>
  </r>
  <r>
    <n v="105"/>
    <x v="6"/>
    <x v="6"/>
    <x v="0"/>
    <s v="SAP"/>
    <n v="30500"/>
    <x v="5"/>
    <x v="2"/>
    <s v="Remote"/>
  </r>
  <r>
    <n v="106"/>
    <x v="6"/>
    <x v="7"/>
    <x v="0"/>
    <s v="Flipkart"/>
    <n v="62500"/>
    <x v="10"/>
    <x v="1"/>
    <s v="Remote"/>
  </r>
  <r>
    <n v="107"/>
    <x v="7"/>
    <x v="6"/>
    <x v="0"/>
    <s v="Cognizant"/>
    <n v="38500"/>
    <x v="5"/>
    <x v="1"/>
    <s v="Onsite"/>
  </r>
  <r>
    <n v="108"/>
    <x v="4"/>
    <x v="3"/>
    <x v="0"/>
    <s v="Netflix"/>
    <n v="76000"/>
    <x v="3"/>
    <x v="1"/>
    <s v="Hybrid"/>
  </r>
  <r>
    <n v="109"/>
    <x v="6"/>
    <x v="5"/>
    <x v="0"/>
    <s v="IBM"/>
    <n v="68000"/>
    <x v="3"/>
    <x v="1"/>
    <s v="Remote"/>
  </r>
  <r>
    <n v="110"/>
    <x v="6"/>
    <x v="5"/>
    <x v="0"/>
    <s v="Accenture"/>
    <n v="99500"/>
    <x v="10"/>
    <x v="2"/>
    <s v="Onsite"/>
  </r>
  <r>
    <n v="111"/>
    <x v="7"/>
    <x v="0"/>
    <x v="0"/>
    <s v="Oracle"/>
    <n v="117500"/>
    <x v="9"/>
    <x v="0"/>
    <s v="Onsite"/>
  </r>
  <r>
    <n v="112"/>
    <x v="7"/>
    <x v="6"/>
    <x v="0"/>
    <s v="HCL"/>
    <n v="26500"/>
    <x v="2"/>
    <x v="0"/>
    <s v="Hybrid"/>
  </r>
  <r>
    <n v="113"/>
    <x v="6"/>
    <x v="1"/>
    <x v="0"/>
    <s v="TCS"/>
    <n v="55500"/>
    <x v="5"/>
    <x v="1"/>
    <s v="Remote"/>
  </r>
  <r>
    <n v="114"/>
    <x v="7"/>
    <x v="2"/>
    <x v="0"/>
    <s v="IBM"/>
    <n v="119500"/>
    <x v="9"/>
    <x v="1"/>
    <s v="Onsite"/>
  </r>
  <r>
    <n v="115"/>
    <x v="4"/>
    <x v="1"/>
    <x v="0"/>
    <s v="HCL"/>
    <n v="99500"/>
    <x v="2"/>
    <x v="2"/>
    <s v="Hybrid"/>
  </r>
  <r>
    <n v="116"/>
    <x v="3"/>
    <x v="1"/>
    <x v="0"/>
    <s v="Adobe"/>
    <n v="104500"/>
    <x v="6"/>
    <x v="1"/>
    <s v="Remote"/>
  </r>
  <r>
    <n v="117"/>
    <x v="7"/>
    <x v="7"/>
    <x v="0"/>
    <s v="Netflix"/>
    <n v="145500"/>
    <x v="1"/>
    <x v="1"/>
    <s v="Onsite"/>
  </r>
  <r>
    <n v="118"/>
    <x v="5"/>
    <x v="5"/>
    <x v="2"/>
    <s v="Accenture"/>
    <n v="185500"/>
    <x v="10"/>
    <x v="2"/>
    <s v="Remote"/>
  </r>
  <r>
    <n v="119"/>
    <x v="5"/>
    <x v="0"/>
    <x v="0"/>
    <s v="Netflix"/>
    <n v="253500"/>
    <x v="3"/>
    <x v="2"/>
    <s v="Onsite"/>
  </r>
  <r>
    <n v="120"/>
    <x v="4"/>
    <x v="5"/>
    <x v="3"/>
    <s v="Infosys"/>
    <n v="120500"/>
    <x v="7"/>
    <x v="2"/>
    <s v="Hybrid"/>
  </r>
  <r>
    <n v="121"/>
    <x v="7"/>
    <x v="6"/>
    <x v="0"/>
    <s v="Flipkart"/>
    <n v="27000"/>
    <x v="2"/>
    <x v="0"/>
    <s v="Hybrid"/>
  </r>
  <r>
    <n v="122"/>
    <x v="4"/>
    <x v="6"/>
    <x v="0"/>
    <s v="IBM"/>
    <n v="22500"/>
    <x v="0"/>
    <x v="1"/>
    <s v="Hybrid"/>
  </r>
  <r>
    <n v="123"/>
    <x v="0"/>
    <x v="3"/>
    <x v="2"/>
    <s v="Oracle"/>
    <n v="109000"/>
    <x v="5"/>
    <x v="1"/>
    <s v="Onsite"/>
  </r>
  <r>
    <n v="124"/>
    <x v="7"/>
    <x v="0"/>
    <x v="0"/>
    <s v="Meta"/>
    <n v="277000"/>
    <x v="6"/>
    <x v="2"/>
    <s v="Hybrid"/>
  </r>
  <r>
    <n v="125"/>
    <x v="0"/>
    <x v="1"/>
    <x v="3"/>
    <s v="TCS"/>
    <n v="86500"/>
    <x v="0"/>
    <x v="1"/>
    <s v="Remote"/>
  </r>
  <r>
    <n v="126"/>
    <x v="6"/>
    <x v="0"/>
    <x v="0"/>
    <s v="Amazon"/>
    <n v="76000"/>
    <x v="7"/>
    <x v="1"/>
    <s v="Onsite"/>
  </r>
  <r>
    <n v="127"/>
    <x v="1"/>
    <x v="1"/>
    <x v="0"/>
    <s v="Deloitte"/>
    <n v="57000"/>
    <x v="11"/>
    <x v="0"/>
    <s v="Remote"/>
  </r>
  <r>
    <n v="128"/>
    <x v="5"/>
    <x v="4"/>
    <x v="0"/>
    <s v="SAP"/>
    <n v="81000"/>
    <x v="9"/>
    <x v="0"/>
    <s v="Remote"/>
  </r>
  <r>
    <n v="129"/>
    <x v="7"/>
    <x v="2"/>
    <x v="0"/>
    <s v="Flipkart"/>
    <n v="117500"/>
    <x v="1"/>
    <x v="1"/>
    <s v="Hybrid"/>
  </r>
  <r>
    <n v="130"/>
    <x v="7"/>
    <x v="3"/>
    <x v="3"/>
    <s v="Wipro"/>
    <n v="188000"/>
    <x v="0"/>
    <x v="2"/>
    <s v="Onsite"/>
  </r>
  <r>
    <n v="131"/>
    <x v="3"/>
    <x v="4"/>
    <x v="3"/>
    <s v="Netflix"/>
    <n v="76000"/>
    <x v="3"/>
    <x v="0"/>
    <s v="Remote"/>
  </r>
  <r>
    <n v="132"/>
    <x v="3"/>
    <x v="2"/>
    <x v="0"/>
    <s v="PwC"/>
    <n v="118500"/>
    <x v="10"/>
    <x v="1"/>
    <s v="Remote"/>
  </r>
  <r>
    <n v="133"/>
    <x v="6"/>
    <x v="5"/>
    <x v="2"/>
    <s v="Wipro"/>
    <n v="39000"/>
    <x v="7"/>
    <x v="0"/>
    <s v="Hybrid"/>
  </r>
  <r>
    <n v="134"/>
    <x v="1"/>
    <x v="2"/>
    <x v="0"/>
    <s v="Infosys"/>
    <n v="146000"/>
    <x v="5"/>
    <x v="2"/>
    <s v="Remote"/>
  </r>
  <r>
    <n v="135"/>
    <x v="3"/>
    <x v="5"/>
    <x v="0"/>
    <s v="EY"/>
    <n v="196000"/>
    <x v="11"/>
    <x v="2"/>
    <s v="Remote"/>
  </r>
  <r>
    <n v="136"/>
    <x v="2"/>
    <x v="1"/>
    <x v="0"/>
    <s v="Infosys"/>
    <n v="85500"/>
    <x v="1"/>
    <x v="2"/>
    <s v="Onsite"/>
  </r>
  <r>
    <n v="137"/>
    <x v="3"/>
    <x v="7"/>
    <x v="0"/>
    <s v="Netflix"/>
    <n v="128000"/>
    <x v="7"/>
    <x v="1"/>
    <s v="Hybrid"/>
  </r>
  <r>
    <n v="138"/>
    <x v="7"/>
    <x v="6"/>
    <x v="0"/>
    <s v="Meta"/>
    <n v="69000"/>
    <x v="5"/>
    <x v="2"/>
    <s v="Hybrid"/>
  </r>
  <r>
    <n v="139"/>
    <x v="2"/>
    <x v="6"/>
    <x v="1"/>
    <s v="Google"/>
    <n v="21000"/>
    <x v="11"/>
    <x v="1"/>
    <s v="Hybrid"/>
  </r>
  <r>
    <n v="140"/>
    <x v="3"/>
    <x v="1"/>
    <x v="1"/>
    <s v="EY"/>
    <n v="64500"/>
    <x v="4"/>
    <x v="0"/>
    <s v="Hybrid"/>
  </r>
  <r>
    <n v="141"/>
    <x v="2"/>
    <x v="4"/>
    <x v="0"/>
    <s v="Flipkart"/>
    <n v="97000"/>
    <x v="5"/>
    <x v="2"/>
    <s v="Onsite"/>
  </r>
  <r>
    <n v="142"/>
    <x v="4"/>
    <x v="0"/>
    <x v="2"/>
    <s v="Wipro"/>
    <n v="86000"/>
    <x v="11"/>
    <x v="1"/>
    <s v="Remote"/>
  </r>
  <r>
    <n v="143"/>
    <x v="4"/>
    <x v="1"/>
    <x v="0"/>
    <s v="Oracle"/>
    <n v="64500"/>
    <x v="0"/>
    <x v="1"/>
    <s v="Hybrid"/>
  </r>
  <r>
    <n v="144"/>
    <x v="5"/>
    <x v="6"/>
    <x v="2"/>
    <s v="HCL"/>
    <n v="40000"/>
    <x v="8"/>
    <x v="1"/>
    <s v="Onsite"/>
  </r>
  <r>
    <n v="145"/>
    <x v="1"/>
    <x v="5"/>
    <x v="0"/>
    <s v="Meta"/>
    <n v="101000"/>
    <x v="5"/>
    <x v="1"/>
    <s v="Remote"/>
  </r>
  <r>
    <n v="146"/>
    <x v="2"/>
    <x v="0"/>
    <x v="0"/>
    <s v="Accenture"/>
    <n v="56500"/>
    <x v="11"/>
    <x v="0"/>
    <s v="Onsite"/>
  </r>
  <r>
    <n v="147"/>
    <x v="6"/>
    <x v="0"/>
    <x v="1"/>
    <s v="Meta"/>
    <n v="45500"/>
    <x v="4"/>
    <x v="0"/>
    <s v="Hybrid"/>
  </r>
  <r>
    <n v="148"/>
    <x v="1"/>
    <x v="4"/>
    <x v="1"/>
    <s v="Meta"/>
    <n v="89000"/>
    <x v="10"/>
    <x v="1"/>
    <s v="Remote"/>
  </r>
  <r>
    <n v="149"/>
    <x v="4"/>
    <x v="7"/>
    <x v="0"/>
    <s v="Deloitte"/>
    <n v="45000"/>
    <x v="8"/>
    <x v="0"/>
    <s v="Hybrid"/>
  </r>
  <r>
    <n v="150"/>
    <x v="2"/>
    <x v="4"/>
    <x v="0"/>
    <s v="Google"/>
    <n v="39500"/>
    <x v="8"/>
    <x v="0"/>
    <s v="Onsite"/>
  </r>
  <r>
    <n v="151"/>
    <x v="5"/>
    <x v="6"/>
    <x v="0"/>
    <s v="Netflix"/>
    <n v="39000"/>
    <x v="1"/>
    <x v="1"/>
    <s v="Onsite"/>
  </r>
  <r>
    <n v="152"/>
    <x v="7"/>
    <x v="4"/>
    <x v="2"/>
    <s v="Amazon"/>
    <n v="190000"/>
    <x v="1"/>
    <x v="2"/>
    <s v="Hybrid"/>
  </r>
  <r>
    <n v="153"/>
    <x v="6"/>
    <x v="0"/>
    <x v="3"/>
    <s v="PwC"/>
    <n v="77000"/>
    <x v="11"/>
    <x v="1"/>
    <s v="Hybrid"/>
  </r>
  <r>
    <n v="154"/>
    <x v="7"/>
    <x v="6"/>
    <x v="2"/>
    <s v="Capgemini"/>
    <n v="58500"/>
    <x v="11"/>
    <x v="2"/>
    <s v="Remote"/>
  </r>
  <r>
    <n v="155"/>
    <x v="2"/>
    <x v="1"/>
    <x v="3"/>
    <s v="Adobe"/>
    <n v="58000"/>
    <x v="1"/>
    <x v="1"/>
    <s v="Onsite"/>
  </r>
  <r>
    <n v="156"/>
    <x v="0"/>
    <x v="6"/>
    <x v="2"/>
    <s v="Oracle"/>
    <n v="49500"/>
    <x v="3"/>
    <x v="2"/>
    <s v="Remote"/>
  </r>
  <r>
    <n v="157"/>
    <x v="1"/>
    <x v="1"/>
    <x v="0"/>
    <s v="Flipkart"/>
    <n v="78500"/>
    <x v="0"/>
    <x v="1"/>
    <s v="Onsite"/>
  </r>
  <r>
    <n v="158"/>
    <x v="5"/>
    <x v="3"/>
    <x v="0"/>
    <s v="EY"/>
    <n v="72000"/>
    <x v="9"/>
    <x v="0"/>
    <s v="Hybrid"/>
  </r>
  <r>
    <n v="159"/>
    <x v="0"/>
    <x v="6"/>
    <x v="0"/>
    <s v="EY"/>
    <n v="22000"/>
    <x v="8"/>
    <x v="0"/>
    <s v="Hybrid"/>
  </r>
  <r>
    <n v="160"/>
    <x v="2"/>
    <x v="6"/>
    <x v="0"/>
    <s v="Cognizant"/>
    <n v="32000"/>
    <x v="6"/>
    <x v="2"/>
    <s v="Remote"/>
  </r>
  <r>
    <n v="161"/>
    <x v="2"/>
    <x v="6"/>
    <x v="0"/>
    <s v="Accenture"/>
    <n v="13000"/>
    <x v="9"/>
    <x v="0"/>
    <s v="Hybrid"/>
  </r>
  <r>
    <n v="162"/>
    <x v="0"/>
    <x v="3"/>
    <x v="2"/>
    <s v="EY"/>
    <n v="64000"/>
    <x v="10"/>
    <x v="0"/>
    <s v="Onsite"/>
  </r>
  <r>
    <n v="163"/>
    <x v="5"/>
    <x v="0"/>
    <x v="0"/>
    <s v="IBM"/>
    <n v="104000"/>
    <x v="6"/>
    <x v="0"/>
    <s v="Remote"/>
  </r>
  <r>
    <n v="164"/>
    <x v="3"/>
    <x v="3"/>
    <x v="0"/>
    <s v="Deloitte"/>
    <n v="73500"/>
    <x v="5"/>
    <x v="0"/>
    <s v="Hybrid"/>
  </r>
  <r>
    <n v="165"/>
    <x v="4"/>
    <x v="0"/>
    <x v="0"/>
    <s v="Adobe"/>
    <n v="58500"/>
    <x v="3"/>
    <x v="0"/>
    <s v="Onsite"/>
  </r>
  <r>
    <n v="166"/>
    <x v="4"/>
    <x v="3"/>
    <x v="0"/>
    <s v="Capgemini"/>
    <n v="115500"/>
    <x v="11"/>
    <x v="2"/>
    <s v="Hybrid"/>
  </r>
  <r>
    <n v="167"/>
    <x v="4"/>
    <x v="7"/>
    <x v="1"/>
    <s v="Amazon"/>
    <n v="111000"/>
    <x v="6"/>
    <x v="2"/>
    <s v="Remote"/>
  </r>
  <r>
    <n v="168"/>
    <x v="5"/>
    <x v="5"/>
    <x v="0"/>
    <s v="Cognizant"/>
    <n v="116500"/>
    <x v="1"/>
    <x v="1"/>
    <s v="Remote"/>
  </r>
  <r>
    <n v="169"/>
    <x v="5"/>
    <x v="6"/>
    <x v="0"/>
    <s v="SAP"/>
    <n v="37000"/>
    <x v="5"/>
    <x v="1"/>
    <s v="Hybrid"/>
  </r>
  <r>
    <n v="170"/>
    <x v="1"/>
    <x v="1"/>
    <x v="3"/>
    <s v="Amazon"/>
    <n v="60500"/>
    <x v="6"/>
    <x v="0"/>
    <s v="Remote"/>
  </r>
  <r>
    <n v="171"/>
    <x v="4"/>
    <x v="2"/>
    <x v="0"/>
    <s v="TCS"/>
    <n v="43500"/>
    <x v="0"/>
    <x v="0"/>
    <s v="Onsite"/>
  </r>
  <r>
    <n v="172"/>
    <x v="4"/>
    <x v="1"/>
    <x v="0"/>
    <s v="Meta"/>
    <n v="98500"/>
    <x v="5"/>
    <x v="2"/>
    <s v="Hybrid"/>
  </r>
  <r>
    <n v="173"/>
    <x v="0"/>
    <x v="1"/>
    <x v="2"/>
    <s v="Amazon"/>
    <n v="98000"/>
    <x v="9"/>
    <x v="1"/>
    <s v="Remote"/>
  </r>
  <r>
    <n v="174"/>
    <x v="2"/>
    <x v="1"/>
    <x v="0"/>
    <s v="Cognizant"/>
    <n v="51500"/>
    <x v="3"/>
    <x v="1"/>
    <s v="Remote"/>
  </r>
  <r>
    <n v="175"/>
    <x v="2"/>
    <x v="7"/>
    <x v="1"/>
    <s v="HCL"/>
    <n v="63500"/>
    <x v="7"/>
    <x v="1"/>
    <s v="Hybrid"/>
  </r>
  <r>
    <n v="176"/>
    <x v="0"/>
    <x v="4"/>
    <x v="0"/>
    <s v="PwC"/>
    <n v="168500"/>
    <x v="3"/>
    <x v="2"/>
    <s v="Remote"/>
  </r>
  <r>
    <n v="177"/>
    <x v="2"/>
    <x v="4"/>
    <x v="0"/>
    <s v="Deloitte"/>
    <n v="39500"/>
    <x v="5"/>
    <x v="0"/>
    <s v="Hybrid"/>
  </r>
  <r>
    <n v="178"/>
    <x v="1"/>
    <x v="3"/>
    <x v="0"/>
    <s v="Infosys"/>
    <n v="61000"/>
    <x v="2"/>
    <x v="0"/>
    <s v="Remote"/>
  </r>
  <r>
    <n v="179"/>
    <x v="4"/>
    <x v="7"/>
    <x v="1"/>
    <s v="Microsoft"/>
    <n v="48000"/>
    <x v="9"/>
    <x v="0"/>
    <s v="Hybrid"/>
  </r>
  <r>
    <n v="180"/>
    <x v="7"/>
    <x v="3"/>
    <x v="2"/>
    <s v="Capgemini"/>
    <n v="85500"/>
    <x v="11"/>
    <x v="0"/>
    <s v="Onsite"/>
  </r>
  <r>
    <n v="181"/>
    <x v="3"/>
    <x v="2"/>
    <x v="0"/>
    <s v="EY"/>
    <n v="164000"/>
    <x v="6"/>
    <x v="2"/>
    <s v="Remote"/>
  </r>
  <r>
    <n v="182"/>
    <x v="6"/>
    <x v="0"/>
    <x v="0"/>
    <s v="Wipro"/>
    <n v="51000"/>
    <x v="11"/>
    <x v="0"/>
    <s v="Hybrid"/>
  </r>
  <r>
    <n v="183"/>
    <x v="5"/>
    <x v="5"/>
    <x v="0"/>
    <s v="Amazon"/>
    <n v="118500"/>
    <x v="5"/>
    <x v="1"/>
    <s v="Hybrid"/>
  </r>
  <r>
    <n v="184"/>
    <x v="7"/>
    <x v="7"/>
    <x v="3"/>
    <s v="Flipkart"/>
    <n v="82000"/>
    <x v="0"/>
    <x v="0"/>
    <s v="Onsite"/>
  </r>
  <r>
    <n v="185"/>
    <x v="4"/>
    <x v="0"/>
    <x v="0"/>
    <s v="Flipkart"/>
    <n v="93000"/>
    <x v="1"/>
    <x v="1"/>
    <s v="Hybrid"/>
  </r>
  <r>
    <n v="186"/>
    <x v="2"/>
    <x v="3"/>
    <x v="2"/>
    <s v="PwC"/>
    <n v="67500"/>
    <x v="5"/>
    <x v="1"/>
    <s v="Onsite"/>
  </r>
  <r>
    <n v="187"/>
    <x v="2"/>
    <x v="6"/>
    <x v="0"/>
    <s v="Oracle"/>
    <n v="30000"/>
    <x v="6"/>
    <x v="2"/>
    <s v="Onsite"/>
  </r>
  <r>
    <n v="188"/>
    <x v="4"/>
    <x v="3"/>
    <x v="0"/>
    <s v="Infosys"/>
    <n v="74500"/>
    <x v="5"/>
    <x v="1"/>
    <s v="Onsite"/>
  </r>
  <r>
    <n v="189"/>
    <x v="5"/>
    <x v="7"/>
    <x v="0"/>
    <s v="Microsoft"/>
    <n v="130000"/>
    <x v="3"/>
    <x v="1"/>
    <s v="Hybrid"/>
  </r>
  <r>
    <n v="190"/>
    <x v="2"/>
    <x v="7"/>
    <x v="0"/>
    <s v="Adobe"/>
    <n v="44000"/>
    <x v="5"/>
    <x v="0"/>
    <s v="Hybrid"/>
  </r>
  <r>
    <n v="191"/>
    <x v="2"/>
    <x v="0"/>
    <x v="0"/>
    <s v="Deloitte"/>
    <n v="51000"/>
    <x v="9"/>
    <x v="0"/>
    <s v="Onsite"/>
  </r>
  <r>
    <n v="192"/>
    <x v="4"/>
    <x v="7"/>
    <x v="0"/>
    <s v="TCS"/>
    <n v="120500"/>
    <x v="0"/>
    <x v="2"/>
    <s v="Hybrid"/>
  </r>
  <r>
    <n v="193"/>
    <x v="6"/>
    <x v="3"/>
    <x v="2"/>
    <s v="HCL"/>
    <n v="36500"/>
    <x v="3"/>
    <x v="0"/>
    <s v="Hybrid"/>
  </r>
  <r>
    <n v="194"/>
    <x v="4"/>
    <x v="7"/>
    <x v="0"/>
    <s v="Amazon"/>
    <n v="78000"/>
    <x v="5"/>
    <x v="1"/>
    <s v="Onsite"/>
  </r>
  <r>
    <n v="195"/>
    <x v="7"/>
    <x v="2"/>
    <x v="1"/>
    <s v="Flipkart"/>
    <n v="79000"/>
    <x v="4"/>
    <x v="0"/>
    <s v="Hybrid"/>
  </r>
  <r>
    <n v="196"/>
    <x v="7"/>
    <x v="4"/>
    <x v="0"/>
    <s v="SAP"/>
    <n v="139500"/>
    <x v="6"/>
    <x v="1"/>
    <s v="Onsite"/>
  </r>
  <r>
    <n v="197"/>
    <x v="5"/>
    <x v="7"/>
    <x v="1"/>
    <s v="HCL"/>
    <n v="84500"/>
    <x v="8"/>
    <x v="0"/>
    <s v="Onsite"/>
  </r>
  <r>
    <n v="198"/>
    <x v="2"/>
    <x v="6"/>
    <x v="0"/>
    <s v="Adobe"/>
    <n v="14500"/>
    <x v="11"/>
    <x v="0"/>
    <s v="Onsite"/>
  </r>
  <r>
    <n v="199"/>
    <x v="3"/>
    <x v="5"/>
    <x v="2"/>
    <s v="Infosys"/>
    <n v="128500"/>
    <x v="4"/>
    <x v="1"/>
    <s v="Remote"/>
  </r>
  <r>
    <n v="200"/>
    <x v="2"/>
    <x v="0"/>
    <x v="0"/>
    <s v="PwC"/>
    <n v="123000"/>
    <x v="4"/>
    <x v="2"/>
    <s v="Onsit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5F0EBF-8537-441E-86E3-60AE7E872B95}" name="PivotTable8"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15:G28" firstHeaderRow="1" firstDataRow="1" firstDataCol="1"/>
  <pivotFields count="9">
    <pivotField dataField="1" showAll="0"/>
    <pivotField showAll="0"/>
    <pivotField showAll="0">
      <items count="9">
        <item x="3"/>
        <item x="4"/>
        <item x="2"/>
        <item x="6"/>
        <item x="5"/>
        <item x="1"/>
        <item x="7"/>
        <item x="0"/>
        <item t="default"/>
      </items>
    </pivotField>
    <pivotField showAll="0">
      <items count="5">
        <item x="2"/>
        <item x="0"/>
        <item x="3"/>
        <item x="1"/>
        <item t="default"/>
      </items>
    </pivotField>
    <pivotField showAll="0"/>
    <pivotField numFmtId="168" showAll="0"/>
    <pivotField axis="axisRow" showAll="0">
      <items count="13">
        <item x="8"/>
        <item x="11"/>
        <item x="2"/>
        <item x="4"/>
        <item x="6"/>
        <item x="7"/>
        <item x="3"/>
        <item x="9"/>
        <item x="1"/>
        <item x="10"/>
        <item x="5"/>
        <item x="0"/>
        <item t="default"/>
      </items>
    </pivotField>
    <pivotField showAll="0">
      <items count="4">
        <item x="0"/>
        <item x="1"/>
        <item x="2"/>
        <item t="default"/>
      </items>
    </pivotField>
    <pivotField showAll="0"/>
  </pivotFields>
  <rowFields count="1">
    <field x="6"/>
  </rowFields>
  <rowItems count="13">
    <i>
      <x/>
    </i>
    <i>
      <x v="1"/>
    </i>
    <i>
      <x v="2"/>
    </i>
    <i>
      <x v="3"/>
    </i>
    <i>
      <x v="4"/>
    </i>
    <i>
      <x v="5"/>
    </i>
    <i>
      <x v="6"/>
    </i>
    <i>
      <x v="7"/>
    </i>
    <i>
      <x v="8"/>
    </i>
    <i>
      <x v="9"/>
    </i>
    <i>
      <x v="10"/>
    </i>
    <i>
      <x v="11"/>
    </i>
    <i t="grand">
      <x/>
    </i>
  </rowItems>
  <colItems count="1">
    <i/>
  </colItems>
  <dataFields count="1">
    <dataField name="Sum of Job ID" fld="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E78063-1091-4994-A8FB-870962757157}"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5:B20" firstHeaderRow="1" firstDataRow="1" firstDataCol="1"/>
  <pivotFields count="9">
    <pivotField dataField="1" showAll="0"/>
    <pivotField showAll="0"/>
    <pivotField showAll="0">
      <items count="9">
        <item x="3"/>
        <item x="4"/>
        <item x="2"/>
        <item x="6"/>
        <item x="5"/>
        <item x="1"/>
        <item x="7"/>
        <item x="0"/>
        <item t="default"/>
      </items>
    </pivotField>
    <pivotField axis="axisRow" showAll="0">
      <items count="5">
        <item x="2"/>
        <item x="0"/>
        <item x="3"/>
        <item x="1"/>
        <item t="default"/>
      </items>
    </pivotField>
    <pivotField showAll="0"/>
    <pivotField numFmtId="168" showAll="0"/>
    <pivotField showAll="0"/>
    <pivotField showAll="0">
      <items count="4">
        <item x="0"/>
        <item x="1"/>
        <item x="2"/>
        <item t="default"/>
      </items>
    </pivotField>
    <pivotField showAll="0"/>
  </pivotFields>
  <rowFields count="1">
    <field x="3"/>
  </rowFields>
  <rowItems count="5">
    <i>
      <x/>
    </i>
    <i>
      <x v="1"/>
    </i>
    <i>
      <x v="2"/>
    </i>
    <i>
      <x v="3"/>
    </i>
    <i t="grand">
      <x/>
    </i>
  </rowItems>
  <colItems count="1">
    <i/>
  </colItems>
  <dataFields count="1">
    <dataField name="Sum of Job ID" fld="0"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 chart="3"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D62803-53D1-47F6-A5D5-8645BCBB852B}"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3:G12" firstHeaderRow="1" firstDataRow="1" firstDataCol="1"/>
  <pivotFields count="9">
    <pivotField showAll="0"/>
    <pivotField axis="axisRow" showAll="0">
      <items count="9">
        <item x="5"/>
        <item x="2"/>
        <item x="4"/>
        <item x="6"/>
        <item x="7"/>
        <item x="1"/>
        <item x="0"/>
        <item x="3"/>
        <item t="default"/>
      </items>
    </pivotField>
    <pivotField showAll="0">
      <items count="9">
        <item x="3"/>
        <item x="4"/>
        <item x="2"/>
        <item x="6"/>
        <item x="5"/>
        <item x="1"/>
        <item x="7"/>
        <item x="0"/>
        <item t="default"/>
      </items>
    </pivotField>
    <pivotField showAll="0">
      <items count="5">
        <item x="2"/>
        <item x="0"/>
        <item x="3"/>
        <item x="1"/>
        <item t="default"/>
      </items>
    </pivotField>
    <pivotField showAll="0"/>
    <pivotField dataField="1" numFmtId="168" showAll="0"/>
    <pivotField showAll="0"/>
    <pivotField showAll="0">
      <items count="4">
        <item x="0"/>
        <item x="1"/>
        <item x="2"/>
        <item t="default"/>
      </items>
    </pivotField>
    <pivotField showAll="0"/>
  </pivotFields>
  <rowFields count="1">
    <field x="1"/>
  </rowFields>
  <rowItems count="9">
    <i>
      <x/>
    </i>
    <i>
      <x v="1"/>
    </i>
    <i>
      <x v="2"/>
    </i>
    <i>
      <x v="3"/>
    </i>
    <i>
      <x v="4"/>
    </i>
    <i>
      <x v="5"/>
    </i>
    <i>
      <x v="6"/>
    </i>
    <i>
      <x v="7"/>
    </i>
    <i t="grand">
      <x/>
    </i>
  </rowItems>
  <colItems count="1">
    <i/>
  </colItems>
  <dataFields count="1">
    <dataField name="Average of Median Salary" fld="5" subtotal="average" baseField="1" baseItem="0" numFmtId="17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DAF9B3-BA95-41CD-99F5-766DDA71DCAD}"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2" firstHeaderRow="1" firstDataRow="1" firstDataCol="1"/>
  <pivotFields count="9">
    <pivotField showAll="0"/>
    <pivotField showAll="0"/>
    <pivotField axis="axisRow" showAll="0">
      <items count="9">
        <item x="3"/>
        <item x="4"/>
        <item x="2"/>
        <item x="6"/>
        <item x="5"/>
        <item x="1"/>
        <item x="7"/>
        <item x="0"/>
        <item t="default"/>
      </items>
    </pivotField>
    <pivotField showAll="0">
      <items count="5">
        <item x="2"/>
        <item x="0"/>
        <item x="3"/>
        <item x="1"/>
        <item t="default"/>
      </items>
    </pivotField>
    <pivotField showAll="0"/>
    <pivotField dataField="1" numFmtId="168" showAll="0"/>
    <pivotField showAll="0"/>
    <pivotField showAll="0">
      <items count="4">
        <item x="0"/>
        <item x="1"/>
        <item x="2"/>
        <item t="default"/>
      </items>
    </pivotField>
    <pivotField showAll="0"/>
  </pivotFields>
  <rowFields count="1">
    <field x="2"/>
  </rowFields>
  <rowItems count="9">
    <i>
      <x/>
    </i>
    <i>
      <x v="1"/>
    </i>
    <i>
      <x v="2"/>
    </i>
    <i>
      <x v="3"/>
    </i>
    <i>
      <x v="4"/>
    </i>
    <i>
      <x v="5"/>
    </i>
    <i>
      <x v="6"/>
    </i>
    <i>
      <x v="7"/>
    </i>
    <i t="grand">
      <x/>
    </i>
  </rowItems>
  <colItems count="1">
    <i/>
  </colItems>
  <dataFields count="1">
    <dataField name="Average of Median Salary" fld="5" subtotal="average" baseField="2" baseItem="0" numFmtId="17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4AFC357-15C8-4AEB-96B7-D6DE78C2D287}" sourceName="Country">
  <pivotTables>
    <pivotTable tabId="6" name="PivotTable5"/>
    <pivotTable tabId="6" name="PivotTable6"/>
    <pivotTable tabId="6" name="PivotTable7"/>
    <pivotTable tabId="6" name="PivotTable8"/>
  </pivotTables>
  <data>
    <tabular pivotCacheId="1087502193">
      <items count="8">
        <i x="3" s="1"/>
        <i x="4" s="1"/>
        <i x="2" s="1"/>
        <i x="6" s="1"/>
        <i x="5" s="1"/>
        <i x="1" s="1"/>
        <i x="7"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 xr10:uid="{93B9177B-0CFF-4899-9B68-E467EA6E98B2}" sourceName="Job Type">
  <pivotTables>
    <pivotTable tabId="6" name="PivotTable5"/>
    <pivotTable tabId="6" name="PivotTable6"/>
    <pivotTable tabId="6" name="PivotTable7"/>
    <pivotTable tabId="6" name="PivotTable8"/>
  </pivotTables>
  <data>
    <tabular pivotCacheId="1087502193">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Level" xr10:uid="{8A53A877-CEDA-451D-AB9C-D0B61890A449}" sourceName="Experience Level">
  <pivotTables>
    <pivotTable tabId="6" name="PivotTable5"/>
    <pivotTable tabId="6" name="PivotTable6"/>
    <pivotTable tabId="6" name="PivotTable7"/>
    <pivotTable tabId="6" name="PivotTable8"/>
  </pivotTables>
  <data>
    <tabular pivotCacheId="108750219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8D725F3-1B68-4903-B6EF-65CD693AA913}" cache="Slicer_Country" caption="Country" rowHeight="241300"/>
  <slicer name="Job Type" xr10:uid="{9AA55DC6-9FAE-4A65-81D1-1E1498355FD8}" cache="Slicer_Job_Type" caption="Job Type" rowHeight="241300"/>
  <slicer name="Experience Level" xr10:uid="{8FA4B83C-6BEA-41CA-94BD-3031A1ACFAA7}" cache="Slicer_Experience_Level" caption="Experience Leve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9C102E-7AAA-4700-89F5-E3D198E89A4B}" name="JobData" displayName="JobData" ref="A1:I201" totalsRowShown="0" headerRowDxfId="0" dataDxfId="1" tableBorderDxfId="11" headerRowCellStyle="Normal 2" dataCellStyle="Normal 2">
  <autoFilter ref="A1:I201" xr:uid="{8B9C102E-7AAA-4700-89F5-E3D198E89A4B}"/>
  <tableColumns count="9">
    <tableColumn id="1" xr3:uid="{E570DCC7-AB7C-4CAB-BF83-9904DACA3A59}" name="Job ID" dataDxfId="10" dataCellStyle="Normal 2"/>
    <tableColumn id="2" xr3:uid="{07E0556A-EBF1-49D2-9728-B3639758B32C}" name="Job Title" dataDxfId="9" dataCellStyle="Normal 2"/>
    <tableColumn id="3" xr3:uid="{088F9A57-EFB9-4BA9-9F60-B5D0C3123E98}" name="Country" dataDxfId="8" dataCellStyle="Normal 2"/>
    <tableColumn id="4" xr3:uid="{DBC2AF1E-127E-40C0-BB29-2224C4172463}" name="Job Type" dataDxfId="7" dataCellStyle="Normal 2"/>
    <tableColumn id="5" xr3:uid="{869BDAC6-3655-480C-831A-B042DE374D72}" name="Company" dataDxfId="6" dataCellStyle="Normal 2"/>
    <tableColumn id="6" xr3:uid="{542107B9-0848-43CF-936A-25F510E73865}" name="Median Salary" dataDxfId="5" dataCellStyle="Normal 2"/>
    <tableColumn id="7" xr3:uid="{EB6D9A39-8D82-4FFA-92FB-352ED61C748C}" name="Job Posting Month" dataDxfId="4" dataCellStyle="Normal 2"/>
    <tableColumn id="8" xr3:uid="{33D9F9B5-5A5E-4F49-9797-3869CB3F5093}" name="Experience Level" dataDxfId="3" dataCellStyle="Normal 2"/>
    <tableColumn id="9" xr3:uid="{669B0C5F-FA90-40F9-AAFA-628D48EB2BAF}" name="Work Mode" dataDxfId="2" dataCellStyle="Normal 2"/>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EB0F2-C938-45AC-8429-E77134381C29}">
  <dimension ref="A1:Z10"/>
  <sheetViews>
    <sheetView showGridLines="0" tabSelected="1" topLeftCell="I2" workbookViewId="0">
      <selection activeCell="U16" sqref="U16"/>
    </sheetView>
  </sheetViews>
  <sheetFormatPr defaultRowHeight="15" x14ac:dyDescent="0.25"/>
  <cols>
    <col min="3" max="3" width="16.42578125" customWidth="1"/>
    <col min="5" max="5" width="8.28515625" customWidth="1"/>
    <col min="6" max="6" width="20.7109375" customWidth="1"/>
    <col min="9" max="9" width="16.85546875" customWidth="1"/>
    <col min="12" max="12" width="20.85546875" customWidth="1"/>
    <col min="15" max="15" width="21.42578125" customWidth="1"/>
  </cols>
  <sheetData>
    <row r="1" spans="1:26" ht="26.25" customHeight="1" x14ac:dyDescent="0.25">
      <c r="A1" s="12" t="s">
        <v>69</v>
      </c>
      <c r="B1" s="12"/>
      <c r="C1" s="12"/>
      <c r="D1" s="12"/>
      <c r="E1" s="12"/>
      <c r="F1" s="12"/>
      <c r="G1" s="12"/>
      <c r="H1" s="12"/>
      <c r="I1" s="12"/>
      <c r="J1" s="12"/>
      <c r="K1" s="12"/>
      <c r="L1" s="12"/>
      <c r="M1" s="12"/>
      <c r="N1" s="12"/>
      <c r="O1" s="12"/>
      <c r="P1" s="12"/>
      <c r="Q1" s="12"/>
      <c r="R1" s="12"/>
      <c r="S1" s="12"/>
      <c r="T1" s="12"/>
      <c r="U1" s="12"/>
      <c r="V1" s="12"/>
      <c r="W1" s="12"/>
      <c r="X1" s="12"/>
      <c r="Y1" s="12"/>
      <c r="Z1" s="12"/>
    </row>
    <row r="2" spans="1:26" ht="26.25" customHeight="1" x14ac:dyDescent="0.25">
      <c r="A2" s="12"/>
      <c r="B2" s="12"/>
      <c r="C2" s="12"/>
      <c r="D2" s="12"/>
      <c r="E2" s="12"/>
      <c r="F2" s="12"/>
      <c r="G2" s="12"/>
      <c r="H2" s="12"/>
      <c r="I2" s="12"/>
      <c r="J2" s="12"/>
      <c r="K2" s="12"/>
      <c r="L2" s="12"/>
      <c r="M2" s="12"/>
      <c r="N2" s="12"/>
      <c r="O2" s="12"/>
      <c r="P2" s="12"/>
      <c r="Q2" s="12"/>
      <c r="R2" s="12"/>
      <c r="S2" s="12"/>
      <c r="T2" s="12"/>
      <c r="U2" s="12"/>
      <c r="V2" s="12"/>
      <c r="W2" s="12"/>
      <c r="X2" s="12"/>
      <c r="Y2" s="12"/>
      <c r="Z2" s="12"/>
    </row>
    <row r="3" spans="1:26" ht="72" customHeight="1" thickBot="1" x14ac:dyDescent="0.3">
      <c r="A3" s="12"/>
      <c r="B3" s="12"/>
      <c r="C3" s="12"/>
      <c r="D3" s="12"/>
      <c r="E3" s="12"/>
      <c r="F3" s="12"/>
      <c r="G3" s="12"/>
      <c r="H3" s="12"/>
      <c r="I3" s="12"/>
      <c r="J3" s="12"/>
      <c r="K3" s="12"/>
      <c r="L3" s="12"/>
      <c r="M3" s="12"/>
      <c r="N3" s="12"/>
      <c r="O3" s="12"/>
      <c r="P3" s="12"/>
      <c r="Q3" s="12"/>
      <c r="R3" s="12"/>
      <c r="S3" s="12"/>
      <c r="T3" s="12"/>
      <c r="U3" s="12"/>
      <c r="V3" s="12"/>
      <c r="W3" s="12"/>
      <c r="X3" s="12"/>
      <c r="Y3" s="12"/>
      <c r="Z3" s="12"/>
    </row>
    <row r="4" spans="1:26" x14ac:dyDescent="0.25">
      <c r="F4" s="10" t="s">
        <v>5</v>
      </c>
      <c r="I4" s="10" t="s">
        <v>76</v>
      </c>
      <c r="L4" s="10" t="s">
        <v>70</v>
      </c>
      <c r="O4" s="10" t="s">
        <v>71</v>
      </c>
    </row>
    <row r="5" spans="1:26" ht="24" thickBot="1" x14ac:dyDescent="0.4">
      <c r="B5" s="14" t="s">
        <v>1</v>
      </c>
      <c r="C5" s="14" t="s">
        <v>49</v>
      </c>
      <c r="F5" s="13" cm="1">
        <f t="array" ref="F5">IFERROR(AVERAGE(_xlfn._xlws.FILTER(JobData[Median Salary],(JobData[Job Title]=C5)*(JobData[Country]=C7)*(JobData[Job Type]=C9))),0)</f>
        <v>77000</v>
      </c>
      <c r="I5" s="11" cm="1">
        <f t="array" ref="I5">IFERROR(ROWS(_xlfn._xlws.FILTER(JobData[Job ID],(JobData[Job Title]=C5)*(JobData[Country]=C7)*(JobData[Job Type]=C9))),0)</f>
        <v>1</v>
      </c>
      <c r="L5" s="13" cm="1">
        <f t="array" ref="L5">IFERROR(MAX(_xlfn._xlws.FILTER(JobData[Median Salary],(JobData[Job Title]=C5)*(JobData[Country]=C7)*(JobData[Job Type]=C9))),0)</f>
        <v>77000</v>
      </c>
      <c r="O5" s="13" cm="1">
        <f t="array" ref="O5">IFERROR(MIN(_xlfn._xlws.FILTER(JobData[Median Salary],(JobData[Job Title]=C5)*(JobData[Country]=C7)*(JobData[Job Type]=C9))),0)</f>
        <v>77000</v>
      </c>
    </row>
    <row r="6" spans="1:26" ht="15.75" x14ac:dyDescent="0.25">
      <c r="B6" s="14"/>
      <c r="C6" s="14"/>
    </row>
    <row r="7" spans="1:26" ht="15.75" x14ac:dyDescent="0.25">
      <c r="B7" s="14" t="s">
        <v>2</v>
      </c>
      <c r="C7" s="14" t="s">
        <v>10</v>
      </c>
    </row>
    <row r="8" spans="1:26" ht="15.75" x14ac:dyDescent="0.25">
      <c r="B8" s="14"/>
      <c r="C8" s="14"/>
    </row>
    <row r="9" spans="1:26" ht="15.75" x14ac:dyDescent="0.25">
      <c r="B9" s="14" t="s">
        <v>3</v>
      </c>
      <c r="C9" s="14" t="s">
        <v>65</v>
      </c>
    </row>
    <row r="10" spans="1:26" ht="15.75" x14ac:dyDescent="0.25">
      <c r="B10" s="14"/>
      <c r="C10" s="14"/>
    </row>
  </sheetData>
  <mergeCells count="1">
    <mergeCell ref="A1:Z3"/>
  </mergeCells>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8DA4BF01-C9C2-4B75-89D7-C45E5E0E08B8}">
          <x14:formula1>
            <xm:f>Lists!$A$2:$A$9</xm:f>
          </x14:formula1>
          <xm:sqref>C5</xm:sqref>
        </x14:dataValidation>
        <x14:dataValidation type="list" allowBlank="1" showInputMessage="1" showErrorMessage="1" xr:uid="{80D1E280-9DA3-4E75-BB92-015B2A8AADB7}">
          <x14:formula1>
            <xm:f>Lists!$B$2:$B$9</xm:f>
          </x14:formula1>
          <xm:sqref>C7</xm:sqref>
        </x14:dataValidation>
        <x14:dataValidation type="list" allowBlank="1" showInputMessage="1" showErrorMessage="1" xr:uid="{EC579DDA-A222-48DF-81A0-C32C6831A2B5}">
          <x14:formula1>
            <xm:f>Lists!$C$2:$C$5</xm:f>
          </x14:formula1>
          <xm:sqref>C9</xm:sqref>
        </x14:dataValidation>
      </x14:dataValidation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602E7-0085-4511-81E8-C2147A5B5C7C}">
  <dimension ref="A1:I201"/>
  <sheetViews>
    <sheetView topLeftCell="A2" workbookViewId="0">
      <selection activeCell="A2" sqref="A2"/>
    </sheetView>
  </sheetViews>
  <sheetFormatPr defaultRowHeight="15" x14ac:dyDescent="0.25"/>
  <cols>
    <col min="1" max="1" width="8.85546875" customWidth="1"/>
    <col min="2" max="2" width="34.85546875" customWidth="1"/>
    <col min="3" max="3" width="11.5703125" customWidth="1"/>
    <col min="4" max="4" width="11.42578125" customWidth="1"/>
    <col min="5" max="5" width="14.7109375" customWidth="1"/>
    <col min="6" max="6" width="20.42578125" customWidth="1"/>
    <col min="7" max="7" width="25.5703125" customWidth="1"/>
    <col min="8" max="8" width="22.140625" customWidth="1"/>
    <col min="9" max="9" width="13.7109375" customWidth="1"/>
  </cols>
  <sheetData>
    <row r="1" spans="1:9" x14ac:dyDescent="0.25">
      <c r="A1" s="1" t="s">
        <v>0</v>
      </c>
      <c r="B1" s="1" t="s">
        <v>1</v>
      </c>
      <c r="C1" s="1" t="s">
        <v>2</v>
      </c>
      <c r="D1" s="1" t="s">
        <v>3</v>
      </c>
      <c r="E1" s="1" t="s">
        <v>4</v>
      </c>
      <c r="F1" s="1" t="s">
        <v>5</v>
      </c>
      <c r="G1" s="1" t="s">
        <v>6</v>
      </c>
      <c r="H1" s="1" t="s">
        <v>7</v>
      </c>
      <c r="I1" s="1" t="s">
        <v>8</v>
      </c>
    </row>
    <row r="2" spans="1:9" x14ac:dyDescent="0.25">
      <c r="A2" s="2">
        <v>1</v>
      </c>
      <c r="B2" s="2" t="s">
        <v>9</v>
      </c>
      <c r="C2" s="2" t="s">
        <v>10</v>
      </c>
      <c r="D2" s="2" t="s">
        <v>11</v>
      </c>
      <c r="E2" s="2" t="s">
        <v>12</v>
      </c>
      <c r="F2" s="3">
        <v>79500</v>
      </c>
      <c r="G2" s="2" t="s">
        <v>13</v>
      </c>
      <c r="H2" s="2" t="s">
        <v>14</v>
      </c>
      <c r="I2" s="2" t="s">
        <v>15</v>
      </c>
    </row>
    <row r="3" spans="1:9" x14ac:dyDescent="0.25">
      <c r="A3" s="2">
        <v>2</v>
      </c>
      <c r="B3" s="2" t="s">
        <v>9</v>
      </c>
      <c r="C3" s="2" t="s">
        <v>16</v>
      </c>
      <c r="D3" s="2" t="s">
        <v>11</v>
      </c>
      <c r="E3" s="2" t="s">
        <v>17</v>
      </c>
      <c r="F3" s="3">
        <v>60000</v>
      </c>
      <c r="G3" s="2" t="s">
        <v>18</v>
      </c>
      <c r="H3" s="2" t="s">
        <v>14</v>
      </c>
      <c r="I3" s="2" t="s">
        <v>15</v>
      </c>
    </row>
    <row r="4" spans="1:9" x14ac:dyDescent="0.25">
      <c r="A4" s="2">
        <v>3</v>
      </c>
      <c r="B4" s="2" t="s">
        <v>19</v>
      </c>
      <c r="C4" s="2" t="s">
        <v>16</v>
      </c>
      <c r="D4" s="2" t="s">
        <v>11</v>
      </c>
      <c r="E4" s="2" t="s">
        <v>20</v>
      </c>
      <c r="F4" s="3">
        <v>89000</v>
      </c>
      <c r="G4" s="2" t="s">
        <v>21</v>
      </c>
      <c r="H4" s="2" t="s">
        <v>22</v>
      </c>
      <c r="I4" s="2" t="s">
        <v>15</v>
      </c>
    </row>
    <row r="5" spans="1:9" x14ac:dyDescent="0.25">
      <c r="A5" s="2">
        <v>4</v>
      </c>
      <c r="B5" s="2" t="s">
        <v>23</v>
      </c>
      <c r="C5" s="2" t="s">
        <v>24</v>
      </c>
      <c r="D5" s="2" t="s">
        <v>11</v>
      </c>
      <c r="E5" s="2" t="s">
        <v>25</v>
      </c>
      <c r="F5" s="3">
        <v>37500</v>
      </c>
      <c r="G5" s="2" t="s">
        <v>26</v>
      </c>
      <c r="H5" s="2" t="s">
        <v>14</v>
      </c>
      <c r="I5" s="2" t="s">
        <v>15</v>
      </c>
    </row>
    <row r="6" spans="1:9" x14ac:dyDescent="0.25">
      <c r="A6" s="2">
        <v>5</v>
      </c>
      <c r="B6" s="2" t="s">
        <v>23</v>
      </c>
      <c r="C6" s="2" t="s">
        <v>24</v>
      </c>
      <c r="D6" s="2" t="s">
        <v>27</v>
      </c>
      <c r="E6" s="2" t="s">
        <v>28</v>
      </c>
      <c r="F6" s="3">
        <v>89500</v>
      </c>
      <c r="G6" s="2" t="s">
        <v>26</v>
      </c>
      <c r="H6" s="2" t="s">
        <v>29</v>
      </c>
      <c r="I6" s="2" t="s">
        <v>15</v>
      </c>
    </row>
    <row r="7" spans="1:9" x14ac:dyDescent="0.25">
      <c r="A7" s="2">
        <v>6</v>
      </c>
      <c r="B7" s="2" t="s">
        <v>30</v>
      </c>
      <c r="C7" s="2" t="s">
        <v>31</v>
      </c>
      <c r="D7" s="2" t="s">
        <v>11</v>
      </c>
      <c r="E7" s="2" t="s">
        <v>17</v>
      </c>
      <c r="F7" s="3">
        <v>79000</v>
      </c>
      <c r="G7" s="2" t="s">
        <v>32</v>
      </c>
      <c r="H7" s="2" t="s">
        <v>14</v>
      </c>
      <c r="I7" s="2" t="s">
        <v>33</v>
      </c>
    </row>
    <row r="8" spans="1:9" x14ac:dyDescent="0.25">
      <c r="A8" s="2">
        <v>7</v>
      </c>
      <c r="B8" s="2" t="s">
        <v>9</v>
      </c>
      <c r="C8" s="2" t="s">
        <v>34</v>
      </c>
      <c r="D8" s="2" t="s">
        <v>35</v>
      </c>
      <c r="E8" s="2" t="s">
        <v>36</v>
      </c>
      <c r="F8" s="3">
        <v>111500</v>
      </c>
      <c r="G8" s="2" t="s">
        <v>37</v>
      </c>
      <c r="H8" s="2" t="s">
        <v>22</v>
      </c>
      <c r="I8" s="2" t="s">
        <v>38</v>
      </c>
    </row>
    <row r="9" spans="1:9" x14ac:dyDescent="0.25">
      <c r="A9" s="2">
        <v>8</v>
      </c>
      <c r="B9" s="2" t="s">
        <v>39</v>
      </c>
      <c r="C9" s="2" t="s">
        <v>31</v>
      </c>
      <c r="D9" s="2" t="s">
        <v>11</v>
      </c>
      <c r="E9" s="2" t="s">
        <v>40</v>
      </c>
      <c r="F9" s="3">
        <v>98000</v>
      </c>
      <c r="G9" s="2" t="s">
        <v>37</v>
      </c>
      <c r="H9" s="2" t="s">
        <v>29</v>
      </c>
      <c r="I9" s="2" t="s">
        <v>33</v>
      </c>
    </row>
    <row r="10" spans="1:9" x14ac:dyDescent="0.25">
      <c r="A10" s="2">
        <v>9</v>
      </c>
      <c r="B10" s="2" t="s">
        <v>39</v>
      </c>
      <c r="C10" s="2" t="s">
        <v>34</v>
      </c>
      <c r="D10" s="2" t="s">
        <v>11</v>
      </c>
      <c r="E10" s="2" t="s">
        <v>36</v>
      </c>
      <c r="F10" s="3">
        <v>72500</v>
      </c>
      <c r="G10" s="2" t="s">
        <v>13</v>
      </c>
      <c r="H10" s="2" t="s">
        <v>22</v>
      </c>
      <c r="I10" s="2" t="s">
        <v>33</v>
      </c>
    </row>
    <row r="11" spans="1:9" x14ac:dyDescent="0.25">
      <c r="A11" s="2">
        <v>10</v>
      </c>
      <c r="B11" s="2" t="s">
        <v>23</v>
      </c>
      <c r="C11" s="2" t="s">
        <v>10</v>
      </c>
      <c r="D11" s="2" t="s">
        <v>11</v>
      </c>
      <c r="E11" s="2" t="s">
        <v>41</v>
      </c>
      <c r="F11" s="3">
        <v>76500</v>
      </c>
      <c r="G11" s="2" t="s">
        <v>42</v>
      </c>
      <c r="H11" s="2" t="s">
        <v>22</v>
      </c>
      <c r="I11" s="2" t="s">
        <v>38</v>
      </c>
    </row>
    <row r="12" spans="1:9" x14ac:dyDescent="0.25">
      <c r="A12" s="2">
        <v>11</v>
      </c>
      <c r="B12" s="2" t="s">
        <v>23</v>
      </c>
      <c r="C12" s="2" t="s">
        <v>34</v>
      </c>
      <c r="D12" s="2" t="s">
        <v>11</v>
      </c>
      <c r="E12" s="2" t="s">
        <v>36</v>
      </c>
      <c r="F12" s="3">
        <v>94500</v>
      </c>
      <c r="G12" s="2" t="s">
        <v>21</v>
      </c>
      <c r="H12" s="2" t="s">
        <v>29</v>
      </c>
      <c r="I12" s="2" t="s">
        <v>38</v>
      </c>
    </row>
    <row r="13" spans="1:9" x14ac:dyDescent="0.25">
      <c r="A13" s="2">
        <v>12</v>
      </c>
      <c r="B13" s="2" t="s">
        <v>19</v>
      </c>
      <c r="C13" s="2" t="s">
        <v>24</v>
      </c>
      <c r="D13" s="2" t="s">
        <v>11</v>
      </c>
      <c r="E13" s="2" t="s">
        <v>43</v>
      </c>
      <c r="F13" s="3">
        <v>144000</v>
      </c>
      <c r="G13" s="2" t="s">
        <v>44</v>
      </c>
      <c r="H13" s="2" t="s">
        <v>29</v>
      </c>
      <c r="I13" s="2" t="s">
        <v>38</v>
      </c>
    </row>
    <row r="14" spans="1:9" x14ac:dyDescent="0.25">
      <c r="A14" s="2">
        <v>13</v>
      </c>
      <c r="B14" s="2" t="s">
        <v>39</v>
      </c>
      <c r="C14" s="2" t="s">
        <v>45</v>
      </c>
      <c r="D14" s="2" t="s">
        <v>11</v>
      </c>
      <c r="E14" s="2" t="s">
        <v>41</v>
      </c>
      <c r="F14" s="3">
        <v>45500</v>
      </c>
      <c r="G14" s="2" t="s">
        <v>37</v>
      </c>
      <c r="H14" s="2" t="s">
        <v>14</v>
      </c>
      <c r="I14" s="2" t="s">
        <v>15</v>
      </c>
    </row>
    <row r="15" spans="1:9" x14ac:dyDescent="0.25">
      <c r="A15" s="2">
        <v>14</v>
      </c>
      <c r="B15" s="2" t="s">
        <v>46</v>
      </c>
      <c r="C15" s="2" t="s">
        <v>47</v>
      </c>
      <c r="D15" s="2" t="s">
        <v>11</v>
      </c>
      <c r="E15" s="2" t="s">
        <v>48</v>
      </c>
      <c r="F15" s="3">
        <v>42000</v>
      </c>
      <c r="G15" s="2" t="s">
        <v>42</v>
      </c>
      <c r="H15" s="2" t="s">
        <v>22</v>
      </c>
      <c r="I15" s="2" t="s">
        <v>33</v>
      </c>
    </row>
    <row r="16" spans="1:9" x14ac:dyDescent="0.25">
      <c r="A16" s="2">
        <v>15</v>
      </c>
      <c r="B16" s="2" t="s">
        <v>49</v>
      </c>
      <c r="C16" s="2" t="s">
        <v>47</v>
      </c>
      <c r="D16" s="2" t="s">
        <v>11</v>
      </c>
      <c r="E16" s="2" t="s">
        <v>50</v>
      </c>
      <c r="F16" s="3">
        <v>18000</v>
      </c>
      <c r="G16" s="2" t="s">
        <v>44</v>
      </c>
      <c r="H16" s="2" t="s">
        <v>22</v>
      </c>
      <c r="I16" s="2" t="s">
        <v>33</v>
      </c>
    </row>
    <row r="17" spans="1:9" x14ac:dyDescent="0.25">
      <c r="A17" s="2">
        <v>16</v>
      </c>
      <c r="B17" s="2" t="s">
        <v>46</v>
      </c>
      <c r="C17" s="2" t="s">
        <v>51</v>
      </c>
      <c r="D17" s="2" t="s">
        <v>11</v>
      </c>
      <c r="E17" s="2" t="s">
        <v>40</v>
      </c>
      <c r="F17" s="3">
        <v>205500</v>
      </c>
      <c r="G17" s="2" t="s">
        <v>18</v>
      </c>
      <c r="H17" s="2" t="s">
        <v>29</v>
      </c>
      <c r="I17" s="2" t="s">
        <v>15</v>
      </c>
    </row>
    <row r="18" spans="1:9" x14ac:dyDescent="0.25">
      <c r="A18" s="2">
        <v>17</v>
      </c>
      <c r="B18" s="2" t="s">
        <v>30</v>
      </c>
      <c r="C18" s="2" t="s">
        <v>34</v>
      </c>
      <c r="D18" s="2" t="s">
        <v>11</v>
      </c>
      <c r="E18" s="2" t="s">
        <v>52</v>
      </c>
      <c r="F18" s="3">
        <v>176500</v>
      </c>
      <c r="G18" s="2" t="s">
        <v>53</v>
      </c>
      <c r="H18" s="2" t="s">
        <v>29</v>
      </c>
      <c r="I18" s="2" t="s">
        <v>33</v>
      </c>
    </row>
    <row r="19" spans="1:9" x14ac:dyDescent="0.25">
      <c r="A19" s="2">
        <v>18</v>
      </c>
      <c r="B19" s="2" t="s">
        <v>54</v>
      </c>
      <c r="C19" s="2" t="s">
        <v>10</v>
      </c>
      <c r="D19" s="2" t="s">
        <v>11</v>
      </c>
      <c r="E19" s="2" t="s">
        <v>55</v>
      </c>
      <c r="F19" s="3">
        <v>159500</v>
      </c>
      <c r="G19" s="2" t="s">
        <v>53</v>
      </c>
      <c r="H19" s="2" t="s">
        <v>22</v>
      </c>
      <c r="I19" s="2" t="s">
        <v>15</v>
      </c>
    </row>
    <row r="20" spans="1:9" x14ac:dyDescent="0.25">
      <c r="A20" s="2">
        <v>19</v>
      </c>
      <c r="B20" s="2" t="s">
        <v>9</v>
      </c>
      <c r="C20" s="2" t="s">
        <v>47</v>
      </c>
      <c r="D20" s="2" t="s">
        <v>11</v>
      </c>
      <c r="E20" s="2" t="s">
        <v>17</v>
      </c>
      <c r="F20" s="3">
        <v>51500</v>
      </c>
      <c r="G20" s="2" t="s">
        <v>21</v>
      </c>
      <c r="H20" s="2" t="s">
        <v>29</v>
      </c>
      <c r="I20" s="2" t="s">
        <v>15</v>
      </c>
    </row>
    <row r="21" spans="1:9" x14ac:dyDescent="0.25">
      <c r="A21" s="2">
        <v>20</v>
      </c>
      <c r="B21" s="2" t="s">
        <v>39</v>
      </c>
      <c r="C21" s="2" t="s">
        <v>24</v>
      </c>
      <c r="D21" s="2" t="s">
        <v>11</v>
      </c>
      <c r="E21" s="2" t="s">
        <v>48</v>
      </c>
      <c r="F21" s="3">
        <v>71500</v>
      </c>
      <c r="G21" s="2" t="s">
        <v>18</v>
      </c>
      <c r="H21" s="2" t="s">
        <v>22</v>
      </c>
      <c r="I21" s="2" t="s">
        <v>15</v>
      </c>
    </row>
    <row r="22" spans="1:9" x14ac:dyDescent="0.25">
      <c r="A22" s="2">
        <v>21</v>
      </c>
      <c r="B22" s="2" t="s">
        <v>19</v>
      </c>
      <c r="C22" s="2" t="s">
        <v>24</v>
      </c>
      <c r="D22" s="2" t="s">
        <v>11</v>
      </c>
      <c r="E22" s="2" t="s">
        <v>55</v>
      </c>
      <c r="F22" s="3">
        <v>87500</v>
      </c>
      <c r="G22" s="2" t="s">
        <v>56</v>
      </c>
      <c r="H22" s="2" t="s">
        <v>22</v>
      </c>
      <c r="I22" s="2" t="s">
        <v>33</v>
      </c>
    </row>
    <row r="23" spans="1:9" x14ac:dyDescent="0.25">
      <c r="A23" s="2">
        <v>22</v>
      </c>
      <c r="B23" s="2" t="s">
        <v>19</v>
      </c>
      <c r="C23" s="2" t="s">
        <v>47</v>
      </c>
      <c r="D23" s="2" t="s">
        <v>11</v>
      </c>
      <c r="E23" s="2" t="s">
        <v>20</v>
      </c>
      <c r="F23" s="3">
        <v>44500</v>
      </c>
      <c r="G23" s="2" t="s">
        <v>57</v>
      </c>
      <c r="H23" s="2" t="s">
        <v>29</v>
      </c>
      <c r="I23" s="2" t="s">
        <v>15</v>
      </c>
    </row>
    <row r="24" spans="1:9" x14ac:dyDescent="0.25">
      <c r="A24" s="2">
        <v>23</v>
      </c>
      <c r="B24" s="2" t="s">
        <v>9</v>
      </c>
      <c r="C24" s="2" t="s">
        <v>10</v>
      </c>
      <c r="D24" s="2" t="s">
        <v>11</v>
      </c>
      <c r="E24" s="2" t="s">
        <v>41</v>
      </c>
      <c r="F24" s="3">
        <v>126000</v>
      </c>
      <c r="G24" s="2" t="s">
        <v>18</v>
      </c>
      <c r="H24" s="2" t="s">
        <v>22</v>
      </c>
      <c r="I24" s="2" t="s">
        <v>15</v>
      </c>
    </row>
    <row r="25" spans="1:9" x14ac:dyDescent="0.25">
      <c r="A25" s="2">
        <v>24</v>
      </c>
      <c r="B25" s="2" t="s">
        <v>54</v>
      </c>
      <c r="C25" s="2" t="s">
        <v>34</v>
      </c>
      <c r="D25" s="2" t="s">
        <v>11</v>
      </c>
      <c r="E25" s="2" t="s">
        <v>20</v>
      </c>
      <c r="F25" s="3">
        <v>209500</v>
      </c>
      <c r="G25" s="2" t="s">
        <v>32</v>
      </c>
      <c r="H25" s="2" t="s">
        <v>29</v>
      </c>
      <c r="I25" s="2" t="s">
        <v>38</v>
      </c>
    </row>
    <row r="26" spans="1:9" x14ac:dyDescent="0.25">
      <c r="A26" s="2">
        <v>25</v>
      </c>
      <c r="B26" s="2" t="s">
        <v>46</v>
      </c>
      <c r="C26" s="2" t="s">
        <v>34</v>
      </c>
      <c r="D26" s="2" t="s">
        <v>11</v>
      </c>
      <c r="E26" s="2" t="s">
        <v>43</v>
      </c>
      <c r="F26" s="3">
        <v>120000</v>
      </c>
      <c r="G26" s="2" t="s">
        <v>26</v>
      </c>
      <c r="H26" s="2" t="s">
        <v>22</v>
      </c>
      <c r="I26" s="2" t="s">
        <v>38</v>
      </c>
    </row>
    <row r="27" spans="1:9" x14ac:dyDescent="0.25">
      <c r="A27" s="2">
        <v>26</v>
      </c>
      <c r="B27" s="2" t="s">
        <v>49</v>
      </c>
      <c r="C27" s="2" t="s">
        <v>47</v>
      </c>
      <c r="D27" s="2" t="s">
        <v>11</v>
      </c>
      <c r="E27" s="2" t="s">
        <v>25</v>
      </c>
      <c r="F27" s="3">
        <v>11500</v>
      </c>
      <c r="G27" s="2" t="s">
        <v>32</v>
      </c>
      <c r="H27" s="2" t="s">
        <v>14</v>
      </c>
      <c r="I27" s="2" t="s">
        <v>15</v>
      </c>
    </row>
    <row r="28" spans="1:9" x14ac:dyDescent="0.25">
      <c r="A28" s="2">
        <v>27</v>
      </c>
      <c r="B28" s="2" t="s">
        <v>54</v>
      </c>
      <c r="C28" s="2" t="s">
        <v>51</v>
      </c>
      <c r="D28" s="2" t="s">
        <v>11</v>
      </c>
      <c r="E28" s="2" t="s">
        <v>40</v>
      </c>
      <c r="F28" s="3">
        <v>136500</v>
      </c>
      <c r="G28" s="2" t="s">
        <v>58</v>
      </c>
      <c r="H28" s="2" t="s">
        <v>22</v>
      </c>
      <c r="I28" s="2" t="s">
        <v>15</v>
      </c>
    </row>
    <row r="29" spans="1:9" x14ac:dyDescent="0.25">
      <c r="A29" s="2">
        <v>28</v>
      </c>
      <c r="B29" s="2" t="s">
        <v>9</v>
      </c>
      <c r="C29" s="2" t="s">
        <v>10</v>
      </c>
      <c r="D29" s="2" t="s">
        <v>11</v>
      </c>
      <c r="E29" s="2" t="s">
        <v>50</v>
      </c>
      <c r="F29" s="3">
        <v>80500</v>
      </c>
      <c r="G29" s="2" t="s">
        <v>32</v>
      </c>
      <c r="H29" s="2" t="s">
        <v>14</v>
      </c>
      <c r="I29" s="2" t="s">
        <v>15</v>
      </c>
    </row>
    <row r="30" spans="1:9" x14ac:dyDescent="0.25">
      <c r="A30" s="2">
        <v>29</v>
      </c>
      <c r="B30" s="2" t="s">
        <v>54</v>
      </c>
      <c r="C30" s="2" t="s">
        <v>45</v>
      </c>
      <c r="D30" s="2" t="s">
        <v>11</v>
      </c>
      <c r="E30" s="2" t="s">
        <v>36</v>
      </c>
      <c r="F30" s="3">
        <v>81000</v>
      </c>
      <c r="G30" s="2" t="s">
        <v>26</v>
      </c>
      <c r="H30" s="2" t="s">
        <v>14</v>
      </c>
      <c r="I30" s="2" t="s">
        <v>15</v>
      </c>
    </row>
    <row r="31" spans="1:9" x14ac:dyDescent="0.25">
      <c r="A31" s="2">
        <v>30</v>
      </c>
      <c r="B31" s="2" t="s">
        <v>46</v>
      </c>
      <c r="C31" s="2" t="s">
        <v>24</v>
      </c>
      <c r="D31" s="2" t="s">
        <v>35</v>
      </c>
      <c r="E31" s="2" t="s">
        <v>28</v>
      </c>
      <c r="F31" s="3">
        <v>126000</v>
      </c>
      <c r="G31" s="2" t="s">
        <v>13</v>
      </c>
      <c r="H31" s="2" t="s">
        <v>22</v>
      </c>
      <c r="I31" s="2" t="s">
        <v>38</v>
      </c>
    </row>
    <row r="32" spans="1:9" x14ac:dyDescent="0.25">
      <c r="A32" s="2">
        <v>31</v>
      </c>
      <c r="B32" s="2" t="s">
        <v>54</v>
      </c>
      <c r="C32" s="2" t="s">
        <v>51</v>
      </c>
      <c r="D32" s="2" t="s">
        <v>11</v>
      </c>
      <c r="E32" s="2" t="s">
        <v>59</v>
      </c>
      <c r="F32" s="3">
        <v>90500</v>
      </c>
      <c r="G32" s="2" t="s">
        <v>13</v>
      </c>
      <c r="H32" s="2" t="s">
        <v>14</v>
      </c>
      <c r="I32" s="2" t="s">
        <v>33</v>
      </c>
    </row>
    <row r="33" spans="1:9" x14ac:dyDescent="0.25">
      <c r="A33" s="2">
        <v>32</v>
      </c>
      <c r="B33" s="2" t="s">
        <v>23</v>
      </c>
      <c r="C33" s="2" t="s">
        <v>10</v>
      </c>
      <c r="D33" s="2" t="s">
        <v>11</v>
      </c>
      <c r="E33" s="2" t="s">
        <v>60</v>
      </c>
      <c r="F33" s="3">
        <v>115000</v>
      </c>
      <c r="G33" s="2" t="s">
        <v>21</v>
      </c>
      <c r="H33" s="2" t="s">
        <v>29</v>
      </c>
      <c r="I33" s="2" t="s">
        <v>33</v>
      </c>
    </row>
    <row r="34" spans="1:9" x14ac:dyDescent="0.25">
      <c r="A34" s="2">
        <v>33</v>
      </c>
      <c r="B34" s="2" t="s">
        <v>9</v>
      </c>
      <c r="C34" s="2" t="s">
        <v>51</v>
      </c>
      <c r="D34" s="2" t="s">
        <v>11</v>
      </c>
      <c r="E34" s="2" t="s">
        <v>17</v>
      </c>
      <c r="F34" s="3">
        <v>151500</v>
      </c>
      <c r="G34" s="2" t="s">
        <v>26</v>
      </c>
      <c r="H34" s="2" t="s">
        <v>29</v>
      </c>
      <c r="I34" s="2" t="s">
        <v>15</v>
      </c>
    </row>
    <row r="35" spans="1:9" x14ac:dyDescent="0.25">
      <c r="A35" s="2">
        <v>34</v>
      </c>
      <c r="B35" s="2" t="s">
        <v>19</v>
      </c>
      <c r="C35" s="2" t="s">
        <v>10</v>
      </c>
      <c r="D35" s="2" t="s">
        <v>11</v>
      </c>
      <c r="E35" s="2" t="s">
        <v>43</v>
      </c>
      <c r="F35" s="3">
        <v>190000</v>
      </c>
      <c r="G35" s="2" t="s">
        <v>57</v>
      </c>
      <c r="H35" s="2" t="s">
        <v>29</v>
      </c>
      <c r="I35" s="2" t="s">
        <v>33</v>
      </c>
    </row>
    <row r="36" spans="1:9" x14ac:dyDescent="0.25">
      <c r="A36" s="2">
        <v>35</v>
      </c>
      <c r="B36" s="2" t="s">
        <v>30</v>
      </c>
      <c r="C36" s="2" t="s">
        <v>34</v>
      </c>
      <c r="D36" s="2" t="s">
        <v>11</v>
      </c>
      <c r="E36" s="2" t="s">
        <v>25</v>
      </c>
      <c r="F36" s="3">
        <v>69500</v>
      </c>
      <c r="G36" s="2" t="s">
        <v>26</v>
      </c>
      <c r="H36" s="2" t="s">
        <v>14</v>
      </c>
      <c r="I36" s="2" t="s">
        <v>38</v>
      </c>
    </row>
    <row r="37" spans="1:9" x14ac:dyDescent="0.25">
      <c r="A37" s="2">
        <v>36</v>
      </c>
      <c r="B37" s="2" t="s">
        <v>30</v>
      </c>
      <c r="C37" s="2" t="s">
        <v>45</v>
      </c>
      <c r="D37" s="2" t="s">
        <v>11</v>
      </c>
      <c r="E37" s="2" t="s">
        <v>17</v>
      </c>
      <c r="F37" s="3">
        <v>86500</v>
      </c>
      <c r="G37" s="2" t="s">
        <v>57</v>
      </c>
      <c r="H37" s="2" t="s">
        <v>14</v>
      </c>
      <c r="I37" s="2" t="s">
        <v>38</v>
      </c>
    </row>
    <row r="38" spans="1:9" x14ac:dyDescent="0.25">
      <c r="A38" s="2">
        <v>37</v>
      </c>
      <c r="B38" s="2" t="s">
        <v>9</v>
      </c>
      <c r="C38" s="2" t="s">
        <v>47</v>
      </c>
      <c r="D38" s="2" t="s">
        <v>11</v>
      </c>
      <c r="E38" s="2" t="s">
        <v>61</v>
      </c>
      <c r="F38" s="3">
        <v>36000</v>
      </c>
      <c r="G38" s="2" t="s">
        <v>44</v>
      </c>
      <c r="H38" s="2" t="s">
        <v>22</v>
      </c>
      <c r="I38" s="2" t="s">
        <v>15</v>
      </c>
    </row>
    <row r="39" spans="1:9" x14ac:dyDescent="0.25">
      <c r="A39" s="2">
        <v>38</v>
      </c>
      <c r="B39" s="2" t="s">
        <v>19</v>
      </c>
      <c r="C39" s="2" t="s">
        <v>31</v>
      </c>
      <c r="D39" s="2" t="s">
        <v>11</v>
      </c>
      <c r="E39" s="2" t="s">
        <v>28</v>
      </c>
      <c r="F39" s="3">
        <v>152000</v>
      </c>
      <c r="G39" s="2" t="s">
        <v>42</v>
      </c>
      <c r="H39" s="2" t="s">
        <v>29</v>
      </c>
      <c r="I39" s="2" t="s">
        <v>33</v>
      </c>
    </row>
    <row r="40" spans="1:9" x14ac:dyDescent="0.25">
      <c r="A40" s="2">
        <v>39</v>
      </c>
      <c r="B40" s="2" t="s">
        <v>49</v>
      </c>
      <c r="C40" s="2" t="s">
        <v>24</v>
      </c>
      <c r="D40" s="2" t="s">
        <v>35</v>
      </c>
      <c r="E40" s="2" t="s">
        <v>62</v>
      </c>
      <c r="F40" s="3">
        <v>40500</v>
      </c>
      <c r="G40" s="2" t="s">
        <v>58</v>
      </c>
      <c r="H40" s="2" t="s">
        <v>14</v>
      </c>
      <c r="I40" s="2" t="s">
        <v>38</v>
      </c>
    </row>
    <row r="41" spans="1:9" x14ac:dyDescent="0.25">
      <c r="A41" s="2">
        <v>40</v>
      </c>
      <c r="B41" s="2" t="s">
        <v>39</v>
      </c>
      <c r="C41" s="2" t="s">
        <v>24</v>
      </c>
      <c r="D41" s="2" t="s">
        <v>11</v>
      </c>
      <c r="E41" s="2" t="s">
        <v>59</v>
      </c>
      <c r="F41" s="3">
        <v>106000</v>
      </c>
      <c r="G41" s="2" t="s">
        <v>32</v>
      </c>
      <c r="H41" s="2" t="s">
        <v>29</v>
      </c>
      <c r="I41" s="2" t="s">
        <v>38</v>
      </c>
    </row>
    <row r="42" spans="1:9" x14ac:dyDescent="0.25">
      <c r="A42" s="2">
        <v>41</v>
      </c>
      <c r="B42" s="2" t="s">
        <v>30</v>
      </c>
      <c r="C42" s="2" t="s">
        <v>45</v>
      </c>
      <c r="D42" s="2" t="s">
        <v>11</v>
      </c>
      <c r="E42" s="2" t="s">
        <v>41</v>
      </c>
      <c r="F42" s="3">
        <v>83500</v>
      </c>
      <c r="G42" s="2" t="s">
        <v>26</v>
      </c>
      <c r="H42" s="2" t="s">
        <v>14</v>
      </c>
      <c r="I42" s="2" t="s">
        <v>33</v>
      </c>
    </row>
    <row r="43" spans="1:9" x14ac:dyDescent="0.25">
      <c r="A43" s="2">
        <v>42</v>
      </c>
      <c r="B43" s="2" t="s">
        <v>49</v>
      </c>
      <c r="C43" s="2" t="s">
        <v>10</v>
      </c>
      <c r="D43" s="2" t="s">
        <v>11</v>
      </c>
      <c r="E43" s="2" t="s">
        <v>63</v>
      </c>
      <c r="F43" s="3">
        <v>121000</v>
      </c>
      <c r="G43" s="2" t="s">
        <v>21</v>
      </c>
      <c r="H43" s="2" t="s">
        <v>29</v>
      </c>
      <c r="I43" s="2" t="s">
        <v>38</v>
      </c>
    </row>
    <row r="44" spans="1:9" x14ac:dyDescent="0.25">
      <c r="A44" s="2">
        <v>43</v>
      </c>
      <c r="B44" s="2" t="s">
        <v>46</v>
      </c>
      <c r="C44" s="2" t="s">
        <v>10</v>
      </c>
      <c r="D44" s="2" t="s">
        <v>11</v>
      </c>
      <c r="E44" s="2" t="s">
        <v>63</v>
      </c>
      <c r="F44" s="3">
        <v>235000</v>
      </c>
      <c r="G44" s="2" t="s">
        <v>44</v>
      </c>
      <c r="H44" s="2" t="s">
        <v>29</v>
      </c>
      <c r="I44" s="2" t="s">
        <v>15</v>
      </c>
    </row>
    <row r="45" spans="1:9" x14ac:dyDescent="0.25">
      <c r="A45" s="2">
        <v>44</v>
      </c>
      <c r="B45" s="2" t="s">
        <v>39</v>
      </c>
      <c r="C45" s="2" t="s">
        <v>16</v>
      </c>
      <c r="D45" s="2" t="s">
        <v>11</v>
      </c>
      <c r="E45" s="2" t="s">
        <v>64</v>
      </c>
      <c r="F45" s="3">
        <v>58000</v>
      </c>
      <c r="G45" s="2" t="s">
        <v>44</v>
      </c>
      <c r="H45" s="2" t="s">
        <v>22</v>
      </c>
      <c r="I45" s="2" t="s">
        <v>15</v>
      </c>
    </row>
    <row r="46" spans="1:9" x14ac:dyDescent="0.25">
      <c r="A46" s="2">
        <v>45</v>
      </c>
      <c r="B46" s="2" t="s">
        <v>19</v>
      </c>
      <c r="C46" s="2" t="s">
        <v>47</v>
      </c>
      <c r="D46" s="2" t="s">
        <v>11</v>
      </c>
      <c r="E46" s="2" t="s">
        <v>50</v>
      </c>
      <c r="F46" s="3">
        <v>29500</v>
      </c>
      <c r="G46" s="2" t="s">
        <v>13</v>
      </c>
      <c r="H46" s="2" t="s">
        <v>22</v>
      </c>
      <c r="I46" s="2" t="s">
        <v>33</v>
      </c>
    </row>
    <row r="47" spans="1:9" x14ac:dyDescent="0.25">
      <c r="A47" s="2">
        <v>46</v>
      </c>
      <c r="B47" s="2" t="s">
        <v>19</v>
      </c>
      <c r="C47" s="2" t="s">
        <v>51</v>
      </c>
      <c r="D47" s="2" t="s">
        <v>65</v>
      </c>
      <c r="E47" s="2" t="s">
        <v>52</v>
      </c>
      <c r="F47" s="3">
        <v>108500</v>
      </c>
      <c r="G47" s="2" t="s">
        <v>21</v>
      </c>
      <c r="H47" s="2" t="s">
        <v>22</v>
      </c>
      <c r="I47" s="2" t="s">
        <v>15</v>
      </c>
    </row>
    <row r="48" spans="1:9" x14ac:dyDescent="0.25">
      <c r="A48" s="2">
        <v>47</v>
      </c>
      <c r="B48" s="2" t="s">
        <v>23</v>
      </c>
      <c r="C48" s="2" t="s">
        <v>16</v>
      </c>
      <c r="D48" s="2" t="s">
        <v>27</v>
      </c>
      <c r="E48" s="2" t="s">
        <v>12</v>
      </c>
      <c r="F48" s="3">
        <v>52500</v>
      </c>
      <c r="G48" s="2" t="s">
        <v>13</v>
      </c>
      <c r="H48" s="2" t="s">
        <v>22</v>
      </c>
      <c r="I48" s="2" t="s">
        <v>15</v>
      </c>
    </row>
    <row r="49" spans="1:9" x14ac:dyDescent="0.25">
      <c r="A49" s="2">
        <v>48</v>
      </c>
      <c r="B49" s="2" t="s">
        <v>49</v>
      </c>
      <c r="C49" s="2" t="s">
        <v>45</v>
      </c>
      <c r="D49" s="2" t="s">
        <v>11</v>
      </c>
      <c r="E49" s="2" t="s">
        <v>28</v>
      </c>
      <c r="F49" s="3">
        <v>59500</v>
      </c>
      <c r="G49" s="2" t="s">
        <v>32</v>
      </c>
      <c r="H49" s="2" t="s">
        <v>22</v>
      </c>
      <c r="I49" s="2" t="s">
        <v>38</v>
      </c>
    </row>
    <row r="50" spans="1:9" x14ac:dyDescent="0.25">
      <c r="A50" s="2">
        <v>49</v>
      </c>
      <c r="B50" s="2" t="s">
        <v>19</v>
      </c>
      <c r="C50" s="2" t="s">
        <v>16</v>
      </c>
      <c r="D50" s="2" t="s">
        <v>11</v>
      </c>
      <c r="E50" s="2" t="s">
        <v>17</v>
      </c>
      <c r="F50" s="3">
        <v>85500</v>
      </c>
      <c r="G50" s="2" t="s">
        <v>37</v>
      </c>
      <c r="H50" s="2" t="s">
        <v>22</v>
      </c>
      <c r="I50" s="2" t="s">
        <v>38</v>
      </c>
    </row>
    <row r="51" spans="1:9" x14ac:dyDescent="0.25">
      <c r="A51" s="2">
        <v>50</v>
      </c>
      <c r="B51" s="2" t="s">
        <v>23</v>
      </c>
      <c r="C51" s="2" t="s">
        <v>10</v>
      </c>
      <c r="D51" s="2" t="s">
        <v>11</v>
      </c>
      <c r="E51" s="2" t="s">
        <v>40</v>
      </c>
      <c r="F51" s="3">
        <v>49500</v>
      </c>
      <c r="G51" s="2" t="s">
        <v>42</v>
      </c>
      <c r="H51" s="2" t="s">
        <v>14</v>
      </c>
      <c r="I51" s="2" t="s">
        <v>33</v>
      </c>
    </row>
    <row r="52" spans="1:9" x14ac:dyDescent="0.25">
      <c r="A52" s="2">
        <v>51</v>
      </c>
      <c r="B52" s="2" t="s">
        <v>46</v>
      </c>
      <c r="C52" s="2" t="s">
        <v>31</v>
      </c>
      <c r="D52" s="2" t="s">
        <v>11</v>
      </c>
      <c r="E52" s="2" t="s">
        <v>25</v>
      </c>
      <c r="F52" s="3">
        <v>111500</v>
      </c>
      <c r="G52" s="2" t="s">
        <v>18</v>
      </c>
      <c r="H52" s="2" t="s">
        <v>22</v>
      </c>
      <c r="I52" s="2" t="s">
        <v>33</v>
      </c>
    </row>
    <row r="53" spans="1:9" x14ac:dyDescent="0.25">
      <c r="A53" s="2">
        <v>52</v>
      </c>
      <c r="B53" s="2" t="s">
        <v>19</v>
      </c>
      <c r="C53" s="2" t="s">
        <v>24</v>
      </c>
      <c r="D53" s="2" t="s">
        <v>11</v>
      </c>
      <c r="E53" s="2" t="s">
        <v>43</v>
      </c>
      <c r="F53" s="3">
        <v>63500</v>
      </c>
      <c r="G53" s="2" t="s">
        <v>18</v>
      </c>
      <c r="H53" s="2" t="s">
        <v>14</v>
      </c>
      <c r="I53" s="2" t="s">
        <v>33</v>
      </c>
    </row>
    <row r="54" spans="1:9" x14ac:dyDescent="0.25">
      <c r="A54" s="2">
        <v>53</v>
      </c>
      <c r="B54" s="2" t="s">
        <v>19</v>
      </c>
      <c r="C54" s="2" t="s">
        <v>31</v>
      </c>
      <c r="D54" s="2" t="s">
        <v>11</v>
      </c>
      <c r="E54" s="2" t="s">
        <v>25</v>
      </c>
      <c r="F54" s="3">
        <v>159000</v>
      </c>
      <c r="G54" s="2" t="s">
        <v>37</v>
      </c>
      <c r="H54" s="2" t="s">
        <v>29</v>
      </c>
      <c r="I54" s="2" t="s">
        <v>38</v>
      </c>
    </row>
    <row r="55" spans="1:9" x14ac:dyDescent="0.25">
      <c r="A55" s="2">
        <v>54</v>
      </c>
      <c r="B55" s="2" t="s">
        <v>30</v>
      </c>
      <c r="C55" s="2" t="s">
        <v>24</v>
      </c>
      <c r="D55" s="2" t="s">
        <v>11</v>
      </c>
      <c r="E55" s="2" t="s">
        <v>25</v>
      </c>
      <c r="F55" s="3">
        <v>111500</v>
      </c>
      <c r="G55" s="2" t="s">
        <v>42</v>
      </c>
      <c r="H55" s="2" t="s">
        <v>22</v>
      </c>
      <c r="I55" s="2" t="s">
        <v>33</v>
      </c>
    </row>
    <row r="56" spans="1:9" x14ac:dyDescent="0.25">
      <c r="A56" s="2">
        <v>55</v>
      </c>
      <c r="B56" s="2" t="s">
        <v>19</v>
      </c>
      <c r="C56" s="2" t="s">
        <v>16</v>
      </c>
      <c r="D56" s="2" t="s">
        <v>11</v>
      </c>
      <c r="E56" s="2" t="s">
        <v>36</v>
      </c>
      <c r="F56" s="3">
        <v>131000</v>
      </c>
      <c r="G56" s="2" t="s">
        <v>21</v>
      </c>
      <c r="H56" s="2" t="s">
        <v>29</v>
      </c>
      <c r="I56" s="2" t="s">
        <v>33</v>
      </c>
    </row>
    <row r="57" spans="1:9" x14ac:dyDescent="0.25">
      <c r="A57" s="2">
        <v>56</v>
      </c>
      <c r="B57" s="2" t="s">
        <v>30</v>
      </c>
      <c r="C57" s="2" t="s">
        <v>16</v>
      </c>
      <c r="D57" s="2" t="s">
        <v>11</v>
      </c>
      <c r="E57" s="2" t="s">
        <v>66</v>
      </c>
      <c r="F57" s="3">
        <v>98500</v>
      </c>
      <c r="G57" s="2" t="s">
        <v>32</v>
      </c>
      <c r="H57" s="2" t="s">
        <v>22</v>
      </c>
      <c r="I57" s="2" t="s">
        <v>38</v>
      </c>
    </row>
    <row r="58" spans="1:9" x14ac:dyDescent="0.25">
      <c r="A58" s="2">
        <v>57</v>
      </c>
      <c r="B58" s="2" t="s">
        <v>23</v>
      </c>
      <c r="C58" s="2" t="s">
        <v>45</v>
      </c>
      <c r="D58" s="2" t="s">
        <v>11</v>
      </c>
      <c r="E58" s="2" t="s">
        <v>59</v>
      </c>
      <c r="F58" s="3">
        <v>96500</v>
      </c>
      <c r="G58" s="2" t="s">
        <v>13</v>
      </c>
      <c r="H58" s="2" t="s">
        <v>29</v>
      </c>
      <c r="I58" s="2" t="s">
        <v>38</v>
      </c>
    </row>
    <row r="59" spans="1:9" x14ac:dyDescent="0.25">
      <c r="A59" s="2">
        <v>58</v>
      </c>
      <c r="B59" s="2" t="s">
        <v>9</v>
      </c>
      <c r="C59" s="2" t="s">
        <v>24</v>
      </c>
      <c r="D59" s="2" t="s">
        <v>11</v>
      </c>
      <c r="E59" s="2" t="s">
        <v>48</v>
      </c>
      <c r="F59" s="3">
        <v>103000</v>
      </c>
      <c r="G59" s="2" t="s">
        <v>32</v>
      </c>
      <c r="H59" s="2" t="s">
        <v>22</v>
      </c>
      <c r="I59" s="2" t="s">
        <v>15</v>
      </c>
    </row>
    <row r="60" spans="1:9" x14ac:dyDescent="0.25">
      <c r="A60" s="2">
        <v>59</v>
      </c>
      <c r="B60" s="2" t="s">
        <v>19</v>
      </c>
      <c r="C60" s="2" t="s">
        <v>34</v>
      </c>
      <c r="D60" s="2" t="s">
        <v>11</v>
      </c>
      <c r="E60" s="2" t="s">
        <v>41</v>
      </c>
      <c r="F60" s="3">
        <v>69000</v>
      </c>
      <c r="G60" s="2" t="s">
        <v>57</v>
      </c>
      <c r="H60" s="2" t="s">
        <v>14</v>
      </c>
      <c r="I60" s="2" t="s">
        <v>38</v>
      </c>
    </row>
    <row r="61" spans="1:9" x14ac:dyDescent="0.25">
      <c r="A61" s="2">
        <v>60</v>
      </c>
      <c r="B61" s="2" t="s">
        <v>9</v>
      </c>
      <c r="C61" s="2" t="s">
        <v>45</v>
      </c>
      <c r="D61" s="2" t="s">
        <v>11</v>
      </c>
      <c r="E61" s="2" t="s">
        <v>20</v>
      </c>
      <c r="F61" s="3">
        <v>69500</v>
      </c>
      <c r="G61" s="2" t="s">
        <v>13</v>
      </c>
      <c r="H61" s="2" t="s">
        <v>14</v>
      </c>
      <c r="I61" s="2" t="s">
        <v>33</v>
      </c>
    </row>
    <row r="62" spans="1:9" x14ac:dyDescent="0.25">
      <c r="A62" s="2">
        <v>61</v>
      </c>
      <c r="B62" s="2" t="s">
        <v>46</v>
      </c>
      <c r="C62" s="2" t="s">
        <v>34</v>
      </c>
      <c r="D62" s="2" t="s">
        <v>11</v>
      </c>
      <c r="E62" s="2" t="s">
        <v>66</v>
      </c>
      <c r="F62" s="3">
        <v>73500</v>
      </c>
      <c r="G62" s="2" t="s">
        <v>32</v>
      </c>
      <c r="H62" s="2" t="s">
        <v>14</v>
      </c>
      <c r="I62" s="2" t="s">
        <v>38</v>
      </c>
    </row>
    <row r="63" spans="1:9" x14ac:dyDescent="0.25">
      <c r="A63" s="2">
        <v>62</v>
      </c>
      <c r="B63" s="2" t="s">
        <v>54</v>
      </c>
      <c r="C63" s="2" t="s">
        <v>10</v>
      </c>
      <c r="D63" s="2" t="s">
        <v>11</v>
      </c>
      <c r="E63" s="2" t="s">
        <v>62</v>
      </c>
      <c r="F63" s="3">
        <v>173500</v>
      </c>
      <c r="G63" s="2" t="s">
        <v>56</v>
      </c>
      <c r="H63" s="2" t="s">
        <v>22</v>
      </c>
      <c r="I63" s="2" t="s">
        <v>15</v>
      </c>
    </row>
    <row r="64" spans="1:9" x14ac:dyDescent="0.25">
      <c r="A64" s="2">
        <v>63</v>
      </c>
      <c r="B64" s="2" t="s">
        <v>23</v>
      </c>
      <c r="C64" s="2" t="s">
        <v>45</v>
      </c>
      <c r="D64" s="2" t="s">
        <v>11</v>
      </c>
      <c r="E64" s="2" t="s">
        <v>61</v>
      </c>
      <c r="F64" s="3">
        <v>74500</v>
      </c>
      <c r="G64" s="2" t="s">
        <v>56</v>
      </c>
      <c r="H64" s="2" t="s">
        <v>22</v>
      </c>
      <c r="I64" s="2" t="s">
        <v>33</v>
      </c>
    </row>
    <row r="65" spans="1:9" x14ac:dyDescent="0.25">
      <c r="A65" s="2">
        <v>64</v>
      </c>
      <c r="B65" s="2" t="s">
        <v>54</v>
      </c>
      <c r="C65" s="2" t="s">
        <v>45</v>
      </c>
      <c r="D65" s="2" t="s">
        <v>11</v>
      </c>
      <c r="E65" s="2" t="s">
        <v>12</v>
      </c>
      <c r="F65" s="3">
        <v>206500</v>
      </c>
      <c r="G65" s="2" t="s">
        <v>18</v>
      </c>
      <c r="H65" s="2" t="s">
        <v>29</v>
      </c>
      <c r="I65" s="2" t="s">
        <v>38</v>
      </c>
    </row>
    <row r="66" spans="1:9" x14ac:dyDescent="0.25">
      <c r="A66" s="2">
        <v>65</v>
      </c>
      <c r="B66" s="2" t="s">
        <v>19</v>
      </c>
      <c r="C66" s="2" t="s">
        <v>24</v>
      </c>
      <c r="D66" s="2" t="s">
        <v>11</v>
      </c>
      <c r="E66" s="2" t="s">
        <v>64</v>
      </c>
      <c r="F66" s="3">
        <v>59000</v>
      </c>
      <c r="G66" s="2" t="s">
        <v>44</v>
      </c>
      <c r="H66" s="2" t="s">
        <v>14</v>
      </c>
      <c r="I66" s="2" t="s">
        <v>38</v>
      </c>
    </row>
    <row r="67" spans="1:9" x14ac:dyDescent="0.25">
      <c r="A67" s="2">
        <v>66</v>
      </c>
      <c r="B67" s="2" t="s">
        <v>9</v>
      </c>
      <c r="C67" s="2" t="s">
        <v>51</v>
      </c>
      <c r="D67" s="2" t="s">
        <v>11</v>
      </c>
      <c r="E67" s="2" t="s">
        <v>36</v>
      </c>
      <c r="F67" s="3">
        <v>154500</v>
      </c>
      <c r="G67" s="2" t="s">
        <v>13</v>
      </c>
      <c r="H67" s="2" t="s">
        <v>29</v>
      </c>
      <c r="I67" s="2" t="s">
        <v>15</v>
      </c>
    </row>
    <row r="68" spans="1:9" x14ac:dyDescent="0.25">
      <c r="A68" s="2">
        <v>67</v>
      </c>
      <c r="B68" s="2" t="s">
        <v>46</v>
      </c>
      <c r="C68" s="2" t="s">
        <v>16</v>
      </c>
      <c r="D68" s="2" t="s">
        <v>11</v>
      </c>
      <c r="E68" s="2" t="s">
        <v>28</v>
      </c>
      <c r="F68" s="3">
        <v>111500</v>
      </c>
      <c r="G68" s="2" t="s">
        <v>32</v>
      </c>
      <c r="H68" s="2" t="s">
        <v>22</v>
      </c>
      <c r="I68" s="2" t="s">
        <v>15</v>
      </c>
    </row>
    <row r="69" spans="1:9" x14ac:dyDescent="0.25">
      <c r="A69" s="2">
        <v>68</v>
      </c>
      <c r="B69" s="2" t="s">
        <v>46</v>
      </c>
      <c r="C69" s="2" t="s">
        <v>10</v>
      </c>
      <c r="D69" s="2" t="s">
        <v>35</v>
      </c>
      <c r="E69" s="2" t="s">
        <v>20</v>
      </c>
      <c r="F69" s="3">
        <v>167500</v>
      </c>
      <c r="G69" s="2" t="s">
        <v>53</v>
      </c>
      <c r="H69" s="2" t="s">
        <v>22</v>
      </c>
      <c r="I69" s="2" t="s">
        <v>38</v>
      </c>
    </row>
    <row r="70" spans="1:9" x14ac:dyDescent="0.25">
      <c r="A70" s="2">
        <v>69</v>
      </c>
      <c r="B70" s="2" t="s">
        <v>30</v>
      </c>
      <c r="C70" s="2" t="s">
        <v>16</v>
      </c>
      <c r="D70" s="2" t="s">
        <v>35</v>
      </c>
      <c r="E70" s="2" t="s">
        <v>43</v>
      </c>
      <c r="F70" s="3">
        <v>151000</v>
      </c>
      <c r="G70" s="2" t="s">
        <v>13</v>
      </c>
      <c r="H70" s="2" t="s">
        <v>29</v>
      </c>
      <c r="I70" s="2" t="s">
        <v>33</v>
      </c>
    </row>
    <row r="71" spans="1:9" x14ac:dyDescent="0.25">
      <c r="A71" s="2">
        <v>70</v>
      </c>
      <c r="B71" s="2" t="s">
        <v>19</v>
      </c>
      <c r="C71" s="2" t="s">
        <v>45</v>
      </c>
      <c r="D71" s="2" t="s">
        <v>11</v>
      </c>
      <c r="E71" s="2" t="s">
        <v>43</v>
      </c>
      <c r="F71" s="3">
        <v>100000</v>
      </c>
      <c r="G71" s="2" t="s">
        <v>26</v>
      </c>
      <c r="H71" s="2" t="s">
        <v>22</v>
      </c>
      <c r="I71" s="2" t="s">
        <v>15</v>
      </c>
    </row>
    <row r="72" spans="1:9" x14ac:dyDescent="0.25">
      <c r="A72" s="2">
        <v>71</v>
      </c>
      <c r="B72" s="2" t="s">
        <v>46</v>
      </c>
      <c r="C72" s="2" t="s">
        <v>51</v>
      </c>
      <c r="D72" s="2" t="s">
        <v>35</v>
      </c>
      <c r="E72" s="2" t="s">
        <v>63</v>
      </c>
      <c r="F72" s="3">
        <v>205000</v>
      </c>
      <c r="G72" s="2" t="s">
        <v>53</v>
      </c>
      <c r="H72" s="2" t="s">
        <v>29</v>
      </c>
      <c r="I72" s="2" t="s">
        <v>33</v>
      </c>
    </row>
    <row r="73" spans="1:9" x14ac:dyDescent="0.25">
      <c r="A73" s="2">
        <v>72</v>
      </c>
      <c r="B73" s="2" t="s">
        <v>49</v>
      </c>
      <c r="C73" s="2" t="s">
        <v>47</v>
      </c>
      <c r="D73" s="2" t="s">
        <v>11</v>
      </c>
      <c r="E73" s="2" t="s">
        <v>63</v>
      </c>
      <c r="F73" s="3">
        <v>18500</v>
      </c>
      <c r="G73" s="2" t="s">
        <v>53</v>
      </c>
      <c r="H73" s="2" t="s">
        <v>22</v>
      </c>
      <c r="I73" s="2" t="s">
        <v>15</v>
      </c>
    </row>
    <row r="74" spans="1:9" x14ac:dyDescent="0.25">
      <c r="A74" s="2">
        <v>73</v>
      </c>
      <c r="B74" s="2" t="s">
        <v>23</v>
      </c>
      <c r="C74" s="2" t="s">
        <v>34</v>
      </c>
      <c r="D74" s="2" t="s">
        <v>11</v>
      </c>
      <c r="E74" s="2" t="s">
        <v>25</v>
      </c>
      <c r="F74" s="3">
        <v>62500</v>
      </c>
      <c r="G74" s="2" t="s">
        <v>26</v>
      </c>
      <c r="H74" s="2" t="s">
        <v>22</v>
      </c>
      <c r="I74" s="2" t="s">
        <v>38</v>
      </c>
    </row>
    <row r="75" spans="1:9" x14ac:dyDescent="0.25">
      <c r="A75" s="2">
        <v>74</v>
      </c>
      <c r="B75" s="2" t="s">
        <v>9</v>
      </c>
      <c r="C75" s="2" t="s">
        <v>45</v>
      </c>
      <c r="D75" s="2" t="s">
        <v>11</v>
      </c>
      <c r="E75" s="2" t="s">
        <v>50</v>
      </c>
      <c r="F75" s="3">
        <v>73000</v>
      </c>
      <c r="G75" s="2" t="s">
        <v>32</v>
      </c>
      <c r="H75" s="2" t="s">
        <v>14</v>
      </c>
      <c r="I75" s="2" t="s">
        <v>38</v>
      </c>
    </row>
    <row r="76" spans="1:9" x14ac:dyDescent="0.25">
      <c r="A76" s="2">
        <v>75</v>
      </c>
      <c r="B76" s="2" t="s">
        <v>49</v>
      </c>
      <c r="C76" s="2" t="s">
        <v>10</v>
      </c>
      <c r="D76" s="2" t="s">
        <v>35</v>
      </c>
      <c r="E76" s="2" t="s">
        <v>59</v>
      </c>
      <c r="F76" s="3">
        <v>47500</v>
      </c>
      <c r="G76" s="2" t="s">
        <v>21</v>
      </c>
      <c r="H76" s="2" t="s">
        <v>14</v>
      </c>
      <c r="I76" s="2" t="s">
        <v>33</v>
      </c>
    </row>
    <row r="77" spans="1:9" x14ac:dyDescent="0.25">
      <c r="A77" s="2">
        <v>76</v>
      </c>
      <c r="B77" s="2" t="s">
        <v>54</v>
      </c>
      <c r="C77" s="2" t="s">
        <v>47</v>
      </c>
      <c r="D77" s="2" t="s">
        <v>11</v>
      </c>
      <c r="E77" s="2" t="s">
        <v>59</v>
      </c>
      <c r="F77" s="3">
        <v>44000</v>
      </c>
      <c r="G77" s="2" t="s">
        <v>42</v>
      </c>
      <c r="H77" s="2" t="s">
        <v>22</v>
      </c>
      <c r="I77" s="2" t="s">
        <v>33</v>
      </c>
    </row>
    <row r="78" spans="1:9" x14ac:dyDescent="0.25">
      <c r="A78" s="2">
        <v>77</v>
      </c>
      <c r="B78" s="2" t="s">
        <v>39</v>
      </c>
      <c r="C78" s="2" t="s">
        <v>47</v>
      </c>
      <c r="D78" s="2" t="s">
        <v>27</v>
      </c>
      <c r="E78" s="2" t="s">
        <v>52</v>
      </c>
      <c r="F78" s="3">
        <v>20500</v>
      </c>
      <c r="G78" s="2" t="s">
        <v>57</v>
      </c>
      <c r="H78" s="2" t="s">
        <v>22</v>
      </c>
      <c r="I78" s="2" t="s">
        <v>15</v>
      </c>
    </row>
    <row r="79" spans="1:9" x14ac:dyDescent="0.25">
      <c r="A79" s="2">
        <v>78</v>
      </c>
      <c r="B79" s="2" t="s">
        <v>30</v>
      </c>
      <c r="C79" s="2" t="s">
        <v>16</v>
      </c>
      <c r="D79" s="2" t="s">
        <v>11</v>
      </c>
      <c r="E79" s="2" t="s">
        <v>59</v>
      </c>
      <c r="F79" s="3">
        <v>69000</v>
      </c>
      <c r="G79" s="2" t="s">
        <v>13</v>
      </c>
      <c r="H79" s="2" t="s">
        <v>14</v>
      </c>
      <c r="I79" s="2" t="s">
        <v>33</v>
      </c>
    </row>
    <row r="80" spans="1:9" x14ac:dyDescent="0.25">
      <c r="A80" s="2">
        <v>79</v>
      </c>
      <c r="B80" s="2" t="s">
        <v>19</v>
      </c>
      <c r="C80" s="2" t="s">
        <v>47</v>
      </c>
      <c r="D80" s="2" t="s">
        <v>11</v>
      </c>
      <c r="E80" s="2" t="s">
        <v>64</v>
      </c>
      <c r="F80" s="3">
        <v>50000</v>
      </c>
      <c r="G80" s="2" t="s">
        <v>58</v>
      </c>
      <c r="H80" s="2" t="s">
        <v>29</v>
      </c>
      <c r="I80" s="2" t="s">
        <v>33</v>
      </c>
    </row>
    <row r="81" spans="1:9" x14ac:dyDescent="0.25">
      <c r="A81" s="2">
        <v>80</v>
      </c>
      <c r="B81" s="2" t="s">
        <v>49</v>
      </c>
      <c r="C81" s="2" t="s">
        <v>31</v>
      </c>
      <c r="D81" s="2" t="s">
        <v>11</v>
      </c>
      <c r="E81" s="2" t="s">
        <v>55</v>
      </c>
      <c r="F81" s="3">
        <v>38000</v>
      </c>
      <c r="G81" s="2" t="s">
        <v>37</v>
      </c>
      <c r="H81" s="2" t="s">
        <v>14</v>
      </c>
      <c r="I81" s="2" t="s">
        <v>33</v>
      </c>
    </row>
    <row r="82" spans="1:9" x14ac:dyDescent="0.25">
      <c r="A82" s="2">
        <v>81</v>
      </c>
      <c r="B82" s="2" t="s">
        <v>46</v>
      </c>
      <c r="C82" s="2" t="s">
        <v>45</v>
      </c>
      <c r="D82" s="2" t="s">
        <v>11</v>
      </c>
      <c r="E82" s="2" t="s">
        <v>55</v>
      </c>
      <c r="F82" s="3">
        <v>176500</v>
      </c>
      <c r="G82" s="2" t="s">
        <v>13</v>
      </c>
      <c r="H82" s="2" t="s">
        <v>29</v>
      </c>
      <c r="I82" s="2" t="s">
        <v>38</v>
      </c>
    </row>
    <row r="83" spans="1:9" x14ac:dyDescent="0.25">
      <c r="A83" s="2">
        <v>82</v>
      </c>
      <c r="B83" s="2" t="s">
        <v>39</v>
      </c>
      <c r="C83" s="2" t="s">
        <v>24</v>
      </c>
      <c r="D83" s="2" t="s">
        <v>11</v>
      </c>
      <c r="E83" s="2" t="s">
        <v>50</v>
      </c>
      <c r="F83" s="3">
        <v>72500</v>
      </c>
      <c r="G83" s="2" t="s">
        <v>26</v>
      </c>
      <c r="H83" s="2" t="s">
        <v>22</v>
      </c>
      <c r="I83" s="2" t="s">
        <v>38</v>
      </c>
    </row>
    <row r="84" spans="1:9" x14ac:dyDescent="0.25">
      <c r="A84" s="2">
        <v>83</v>
      </c>
      <c r="B84" s="2" t="s">
        <v>30</v>
      </c>
      <c r="C84" s="2" t="s">
        <v>31</v>
      </c>
      <c r="D84" s="2" t="s">
        <v>35</v>
      </c>
      <c r="E84" s="2" t="s">
        <v>17</v>
      </c>
      <c r="F84" s="3">
        <v>121500</v>
      </c>
      <c r="G84" s="2" t="s">
        <v>32</v>
      </c>
      <c r="H84" s="2" t="s">
        <v>22</v>
      </c>
      <c r="I84" s="2" t="s">
        <v>38</v>
      </c>
    </row>
    <row r="85" spans="1:9" x14ac:dyDescent="0.25">
      <c r="A85" s="2">
        <v>84</v>
      </c>
      <c r="B85" s="2" t="s">
        <v>46</v>
      </c>
      <c r="C85" s="2" t="s">
        <v>31</v>
      </c>
      <c r="D85" s="2" t="s">
        <v>11</v>
      </c>
      <c r="E85" s="2" t="s">
        <v>25</v>
      </c>
      <c r="F85" s="3">
        <v>76500</v>
      </c>
      <c r="G85" s="2" t="s">
        <v>32</v>
      </c>
      <c r="H85" s="2" t="s">
        <v>14</v>
      </c>
      <c r="I85" s="2" t="s">
        <v>38</v>
      </c>
    </row>
    <row r="86" spans="1:9" x14ac:dyDescent="0.25">
      <c r="A86" s="2">
        <v>85</v>
      </c>
      <c r="B86" s="2" t="s">
        <v>30</v>
      </c>
      <c r="C86" s="2" t="s">
        <v>31</v>
      </c>
      <c r="D86" s="2" t="s">
        <v>11</v>
      </c>
      <c r="E86" s="2" t="s">
        <v>48</v>
      </c>
      <c r="F86" s="3">
        <v>156500</v>
      </c>
      <c r="G86" s="2" t="s">
        <v>18</v>
      </c>
      <c r="H86" s="2" t="s">
        <v>29</v>
      </c>
      <c r="I86" s="2" t="s">
        <v>38</v>
      </c>
    </row>
    <row r="87" spans="1:9" x14ac:dyDescent="0.25">
      <c r="A87" s="2">
        <v>86</v>
      </c>
      <c r="B87" s="2" t="s">
        <v>19</v>
      </c>
      <c r="C87" s="2" t="s">
        <v>47</v>
      </c>
      <c r="D87" s="2" t="s">
        <v>11</v>
      </c>
      <c r="E87" s="2" t="s">
        <v>43</v>
      </c>
      <c r="F87" s="3">
        <v>32500</v>
      </c>
      <c r="G87" s="2" t="s">
        <v>32</v>
      </c>
      <c r="H87" s="2" t="s">
        <v>22</v>
      </c>
      <c r="I87" s="2" t="s">
        <v>33</v>
      </c>
    </row>
    <row r="88" spans="1:9" x14ac:dyDescent="0.25">
      <c r="A88" s="2">
        <v>87</v>
      </c>
      <c r="B88" s="2" t="s">
        <v>54</v>
      </c>
      <c r="C88" s="2" t="s">
        <v>45</v>
      </c>
      <c r="D88" s="2" t="s">
        <v>27</v>
      </c>
      <c r="E88" s="2" t="s">
        <v>17</v>
      </c>
      <c r="F88" s="3">
        <v>143500</v>
      </c>
      <c r="G88" s="2" t="s">
        <v>26</v>
      </c>
      <c r="H88" s="2" t="s">
        <v>22</v>
      </c>
      <c r="I88" s="2" t="s">
        <v>15</v>
      </c>
    </row>
    <row r="89" spans="1:9" x14ac:dyDescent="0.25">
      <c r="A89" s="2">
        <v>88</v>
      </c>
      <c r="B89" s="2" t="s">
        <v>30</v>
      </c>
      <c r="C89" s="2" t="s">
        <v>31</v>
      </c>
      <c r="D89" s="2" t="s">
        <v>11</v>
      </c>
      <c r="E89" s="2" t="s">
        <v>61</v>
      </c>
      <c r="F89" s="3">
        <v>116500</v>
      </c>
      <c r="G89" s="2" t="s">
        <v>13</v>
      </c>
      <c r="H89" s="2" t="s">
        <v>22</v>
      </c>
      <c r="I89" s="2" t="s">
        <v>38</v>
      </c>
    </row>
    <row r="90" spans="1:9" x14ac:dyDescent="0.25">
      <c r="A90" s="2">
        <v>89</v>
      </c>
      <c r="B90" s="2" t="s">
        <v>23</v>
      </c>
      <c r="C90" s="2" t="s">
        <v>45</v>
      </c>
      <c r="D90" s="2" t="s">
        <v>11</v>
      </c>
      <c r="E90" s="2" t="s">
        <v>40</v>
      </c>
      <c r="F90" s="3">
        <v>42000</v>
      </c>
      <c r="G90" s="2" t="s">
        <v>13</v>
      </c>
      <c r="H90" s="2" t="s">
        <v>14</v>
      </c>
      <c r="I90" s="2" t="s">
        <v>15</v>
      </c>
    </row>
    <row r="91" spans="1:9" x14ac:dyDescent="0.25">
      <c r="A91" s="2">
        <v>90</v>
      </c>
      <c r="B91" s="2" t="s">
        <v>9</v>
      </c>
      <c r="C91" s="2" t="s">
        <v>51</v>
      </c>
      <c r="D91" s="2" t="s">
        <v>11</v>
      </c>
      <c r="E91" s="2" t="s">
        <v>60</v>
      </c>
      <c r="F91" s="3">
        <v>119500</v>
      </c>
      <c r="G91" s="2" t="s">
        <v>57</v>
      </c>
      <c r="H91" s="2" t="s">
        <v>22</v>
      </c>
      <c r="I91" s="2" t="s">
        <v>33</v>
      </c>
    </row>
    <row r="92" spans="1:9" x14ac:dyDescent="0.25">
      <c r="A92" s="2">
        <v>91</v>
      </c>
      <c r="B92" s="2" t="s">
        <v>30</v>
      </c>
      <c r="C92" s="2" t="s">
        <v>47</v>
      </c>
      <c r="D92" s="2" t="s">
        <v>35</v>
      </c>
      <c r="E92" s="2" t="s">
        <v>64</v>
      </c>
      <c r="F92" s="3">
        <v>23000</v>
      </c>
      <c r="G92" s="2" t="s">
        <v>21</v>
      </c>
      <c r="H92" s="2" t="s">
        <v>14</v>
      </c>
      <c r="I92" s="2" t="s">
        <v>38</v>
      </c>
    </row>
    <row r="93" spans="1:9" x14ac:dyDescent="0.25">
      <c r="A93" s="2">
        <v>92</v>
      </c>
      <c r="B93" s="2" t="s">
        <v>39</v>
      </c>
      <c r="C93" s="2" t="s">
        <v>24</v>
      </c>
      <c r="D93" s="2" t="s">
        <v>11</v>
      </c>
      <c r="E93" s="2" t="s">
        <v>41</v>
      </c>
      <c r="F93" s="3">
        <v>111500</v>
      </c>
      <c r="G93" s="2" t="s">
        <v>13</v>
      </c>
      <c r="H93" s="2" t="s">
        <v>29</v>
      </c>
      <c r="I93" s="2" t="s">
        <v>38</v>
      </c>
    </row>
    <row r="94" spans="1:9" x14ac:dyDescent="0.25">
      <c r="A94" s="2">
        <v>93</v>
      </c>
      <c r="B94" s="2" t="s">
        <v>54</v>
      </c>
      <c r="C94" s="2" t="s">
        <v>47</v>
      </c>
      <c r="D94" s="2" t="s">
        <v>35</v>
      </c>
      <c r="E94" s="2" t="s">
        <v>20</v>
      </c>
      <c r="F94" s="3">
        <v>41500</v>
      </c>
      <c r="G94" s="2" t="s">
        <v>56</v>
      </c>
      <c r="H94" s="2" t="s">
        <v>22</v>
      </c>
      <c r="I94" s="2" t="s">
        <v>38</v>
      </c>
    </row>
    <row r="95" spans="1:9" x14ac:dyDescent="0.25">
      <c r="A95" s="2">
        <v>94</v>
      </c>
      <c r="B95" s="2" t="s">
        <v>39</v>
      </c>
      <c r="C95" s="2" t="s">
        <v>10</v>
      </c>
      <c r="D95" s="2" t="s">
        <v>11</v>
      </c>
      <c r="E95" s="2" t="s">
        <v>60</v>
      </c>
      <c r="F95" s="3">
        <v>59000</v>
      </c>
      <c r="G95" s="2" t="s">
        <v>26</v>
      </c>
      <c r="H95" s="2" t="s">
        <v>14</v>
      </c>
      <c r="I95" s="2" t="s">
        <v>15</v>
      </c>
    </row>
    <row r="96" spans="1:9" x14ac:dyDescent="0.25">
      <c r="A96" s="2">
        <v>95</v>
      </c>
      <c r="B96" s="2" t="s">
        <v>49</v>
      </c>
      <c r="C96" s="2" t="s">
        <v>51</v>
      </c>
      <c r="D96" s="2" t="s">
        <v>11</v>
      </c>
      <c r="E96" s="2" t="s">
        <v>20</v>
      </c>
      <c r="F96" s="3">
        <v>58500</v>
      </c>
      <c r="G96" s="2" t="s">
        <v>32</v>
      </c>
      <c r="H96" s="2" t="s">
        <v>22</v>
      </c>
      <c r="I96" s="2" t="s">
        <v>15</v>
      </c>
    </row>
    <row r="97" spans="1:9" x14ac:dyDescent="0.25">
      <c r="A97" s="2">
        <v>96</v>
      </c>
      <c r="B97" s="2" t="s">
        <v>46</v>
      </c>
      <c r="C97" s="2" t="s">
        <v>34</v>
      </c>
      <c r="D97" s="2" t="s">
        <v>27</v>
      </c>
      <c r="E97" s="2" t="s">
        <v>36</v>
      </c>
      <c r="F97" s="3">
        <v>129500</v>
      </c>
      <c r="G97" s="2" t="s">
        <v>42</v>
      </c>
      <c r="H97" s="2" t="s">
        <v>22</v>
      </c>
      <c r="I97" s="2" t="s">
        <v>38</v>
      </c>
    </row>
    <row r="98" spans="1:9" x14ac:dyDescent="0.25">
      <c r="A98" s="2">
        <v>97</v>
      </c>
      <c r="B98" s="2" t="s">
        <v>46</v>
      </c>
      <c r="C98" s="2" t="s">
        <v>24</v>
      </c>
      <c r="D98" s="2" t="s">
        <v>11</v>
      </c>
      <c r="E98" s="2" t="s">
        <v>41</v>
      </c>
      <c r="F98" s="3">
        <v>189000</v>
      </c>
      <c r="G98" s="2" t="s">
        <v>58</v>
      </c>
      <c r="H98" s="2" t="s">
        <v>29</v>
      </c>
      <c r="I98" s="2" t="s">
        <v>33</v>
      </c>
    </row>
    <row r="99" spans="1:9" x14ac:dyDescent="0.25">
      <c r="A99" s="2">
        <v>98</v>
      </c>
      <c r="B99" s="2" t="s">
        <v>19</v>
      </c>
      <c r="C99" s="2" t="s">
        <v>34</v>
      </c>
      <c r="D99" s="2" t="s">
        <v>11</v>
      </c>
      <c r="E99" s="2" t="s">
        <v>17</v>
      </c>
      <c r="F99" s="3">
        <v>65000</v>
      </c>
      <c r="G99" s="2" t="s">
        <v>21</v>
      </c>
      <c r="H99" s="2" t="s">
        <v>14</v>
      </c>
      <c r="I99" s="2" t="s">
        <v>15</v>
      </c>
    </row>
    <row r="100" spans="1:9" x14ac:dyDescent="0.25">
      <c r="A100" s="2">
        <v>99</v>
      </c>
      <c r="B100" s="2" t="s">
        <v>39</v>
      </c>
      <c r="C100" s="2" t="s">
        <v>10</v>
      </c>
      <c r="D100" s="2" t="s">
        <v>11</v>
      </c>
      <c r="E100" s="2" t="s">
        <v>48</v>
      </c>
      <c r="F100" s="3">
        <v>86000</v>
      </c>
      <c r="G100" s="2" t="s">
        <v>53</v>
      </c>
      <c r="H100" s="2" t="s">
        <v>22</v>
      </c>
      <c r="I100" s="2" t="s">
        <v>38</v>
      </c>
    </row>
    <row r="101" spans="1:9" x14ac:dyDescent="0.25">
      <c r="A101" s="2">
        <v>100</v>
      </c>
      <c r="B101" s="2" t="s">
        <v>30</v>
      </c>
      <c r="C101" s="2" t="s">
        <v>45</v>
      </c>
      <c r="D101" s="2" t="s">
        <v>11</v>
      </c>
      <c r="E101" s="2" t="s">
        <v>12</v>
      </c>
      <c r="F101" s="3">
        <v>124500</v>
      </c>
      <c r="G101" s="2" t="s">
        <v>57</v>
      </c>
      <c r="H101" s="2" t="s">
        <v>22</v>
      </c>
      <c r="I101" s="2" t="s">
        <v>33</v>
      </c>
    </row>
    <row r="102" spans="1:9" x14ac:dyDescent="0.25">
      <c r="A102" s="2">
        <v>101</v>
      </c>
      <c r="B102" s="2" t="s">
        <v>19</v>
      </c>
      <c r="C102" s="2" t="s">
        <v>16</v>
      </c>
      <c r="D102" s="2" t="s">
        <v>11</v>
      </c>
      <c r="E102" s="2" t="s">
        <v>12</v>
      </c>
      <c r="F102" s="3">
        <v>136500</v>
      </c>
      <c r="G102" s="2" t="s">
        <v>42</v>
      </c>
      <c r="H102" s="2" t="s">
        <v>29</v>
      </c>
      <c r="I102" s="2" t="s">
        <v>15</v>
      </c>
    </row>
    <row r="103" spans="1:9" x14ac:dyDescent="0.25">
      <c r="A103" s="2">
        <v>102</v>
      </c>
      <c r="B103" s="2" t="s">
        <v>9</v>
      </c>
      <c r="C103" s="2" t="s">
        <v>10</v>
      </c>
      <c r="D103" s="2" t="s">
        <v>11</v>
      </c>
      <c r="E103" s="2" t="s">
        <v>64</v>
      </c>
      <c r="F103" s="3">
        <v>216500</v>
      </c>
      <c r="G103" s="2" t="s">
        <v>57</v>
      </c>
      <c r="H103" s="2" t="s">
        <v>29</v>
      </c>
      <c r="I103" s="2" t="s">
        <v>33</v>
      </c>
    </row>
    <row r="104" spans="1:9" x14ac:dyDescent="0.25">
      <c r="A104" s="2">
        <v>103</v>
      </c>
      <c r="B104" s="2" t="s">
        <v>54</v>
      </c>
      <c r="C104" s="2" t="s">
        <v>47</v>
      </c>
      <c r="D104" s="2" t="s">
        <v>11</v>
      </c>
      <c r="E104" s="2" t="s">
        <v>64</v>
      </c>
      <c r="F104" s="3">
        <v>63000</v>
      </c>
      <c r="G104" s="2" t="s">
        <v>42</v>
      </c>
      <c r="H104" s="2" t="s">
        <v>29</v>
      </c>
      <c r="I104" s="2" t="s">
        <v>38</v>
      </c>
    </row>
    <row r="105" spans="1:9" x14ac:dyDescent="0.25">
      <c r="A105" s="2">
        <v>104</v>
      </c>
      <c r="B105" s="2" t="s">
        <v>54</v>
      </c>
      <c r="C105" s="2" t="s">
        <v>45</v>
      </c>
      <c r="D105" s="2" t="s">
        <v>11</v>
      </c>
      <c r="E105" s="2" t="s">
        <v>41</v>
      </c>
      <c r="F105" s="3">
        <v>141000</v>
      </c>
      <c r="G105" s="2" t="s">
        <v>44</v>
      </c>
      <c r="H105" s="2" t="s">
        <v>22</v>
      </c>
      <c r="I105" s="2" t="s">
        <v>33</v>
      </c>
    </row>
    <row r="106" spans="1:9" x14ac:dyDescent="0.25">
      <c r="A106" s="2">
        <v>105</v>
      </c>
      <c r="B106" s="2" t="s">
        <v>49</v>
      </c>
      <c r="C106" s="2" t="s">
        <v>47</v>
      </c>
      <c r="D106" s="2" t="s">
        <v>11</v>
      </c>
      <c r="E106" s="2" t="s">
        <v>20</v>
      </c>
      <c r="F106" s="3">
        <v>30500</v>
      </c>
      <c r="G106" s="2" t="s">
        <v>37</v>
      </c>
      <c r="H106" s="2" t="s">
        <v>29</v>
      </c>
      <c r="I106" s="2" t="s">
        <v>15</v>
      </c>
    </row>
    <row r="107" spans="1:9" x14ac:dyDescent="0.25">
      <c r="A107" s="2">
        <v>106</v>
      </c>
      <c r="B107" s="2" t="s">
        <v>49</v>
      </c>
      <c r="C107" s="2" t="s">
        <v>51</v>
      </c>
      <c r="D107" s="2" t="s">
        <v>11</v>
      </c>
      <c r="E107" s="2" t="s">
        <v>28</v>
      </c>
      <c r="F107" s="3">
        <v>62500</v>
      </c>
      <c r="G107" s="2" t="s">
        <v>57</v>
      </c>
      <c r="H107" s="2" t="s">
        <v>22</v>
      </c>
      <c r="I107" s="2" t="s">
        <v>15</v>
      </c>
    </row>
    <row r="108" spans="1:9" x14ac:dyDescent="0.25">
      <c r="A108" s="2">
        <v>107</v>
      </c>
      <c r="B108" s="2" t="s">
        <v>54</v>
      </c>
      <c r="C108" s="2" t="s">
        <v>47</v>
      </c>
      <c r="D108" s="2" t="s">
        <v>11</v>
      </c>
      <c r="E108" s="2" t="s">
        <v>43</v>
      </c>
      <c r="F108" s="3">
        <v>38500</v>
      </c>
      <c r="G108" s="2" t="s">
        <v>37</v>
      </c>
      <c r="H108" s="2" t="s">
        <v>22</v>
      </c>
      <c r="I108" s="2" t="s">
        <v>38</v>
      </c>
    </row>
    <row r="109" spans="1:9" x14ac:dyDescent="0.25">
      <c r="A109" s="2">
        <v>108</v>
      </c>
      <c r="B109" s="2" t="s">
        <v>39</v>
      </c>
      <c r="C109" s="2" t="s">
        <v>31</v>
      </c>
      <c r="D109" s="2" t="s">
        <v>11</v>
      </c>
      <c r="E109" s="2" t="s">
        <v>60</v>
      </c>
      <c r="F109" s="3">
        <v>76000</v>
      </c>
      <c r="G109" s="2" t="s">
        <v>26</v>
      </c>
      <c r="H109" s="2" t="s">
        <v>22</v>
      </c>
      <c r="I109" s="2" t="s">
        <v>33</v>
      </c>
    </row>
    <row r="110" spans="1:9" x14ac:dyDescent="0.25">
      <c r="A110" s="2">
        <v>109</v>
      </c>
      <c r="B110" s="2" t="s">
        <v>49</v>
      </c>
      <c r="C110" s="2" t="s">
        <v>45</v>
      </c>
      <c r="D110" s="2" t="s">
        <v>11</v>
      </c>
      <c r="E110" s="2" t="s">
        <v>40</v>
      </c>
      <c r="F110" s="3">
        <v>68000</v>
      </c>
      <c r="G110" s="2" t="s">
        <v>26</v>
      </c>
      <c r="H110" s="2" t="s">
        <v>22</v>
      </c>
      <c r="I110" s="2" t="s">
        <v>15</v>
      </c>
    </row>
    <row r="111" spans="1:9" x14ac:dyDescent="0.25">
      <c r="A111" s="2">
        <v>110</v>
      </c>
      <c r="B111" s="2" t="s">
        <v>49</v>
      </c>
      <c r="C111" s="2" t="s">
        <v>45</v>
      </c>
      <c r="D111" s="2" t="s">
        <v>11</v>
      </c>
      <c r="E111" s="2" t="s">
        <v>59</v>
      </c>
      <c r="F111" s="3">
        <v>99500</v>
      </c>
      <c r="G111" s="2" t="s">
        <v>57</v>
      </c>
      <c r="H111" s="2" t="s">
        <v>29</v>
      </c>
      <c r="I111" s="2" t="s">
        <v>38</v>
      </c>
    </row>
    <row r="112" spans="1:9" x14ac:dyDescent="0.25">
      <c r="A112" s="2">
        <v>111</v>
      </c>
      <c r="B112" s="2" t="s">
        <v>54</v>
      </c>
      <c r="C112" s="2" t="s">
        <v>10</v>
      </c>
      <c r="D112" s="2" t="s">
        <v>11</v>
      </c>
      <c r="E112" s="2" t="s">
        <v>50</v>
      </c>
      <c r="F112" s="3">
        <v>117500</v>
      </c>
      <c r="G112" s="2" t="s">
        <v>56</v>
      </c>
      <c r="H112" s="2" t="s">
        <v>14</v>
      </c>
      <c r="I112" s="2" t="s">
        <v>38</v>
      </c>
    </row>
    <row r="113" spans="1:9" x14ac:dyDescent="0.25">
      <c r="A113" s="2">
        <v>112</v>
      </c>
      <c r="B113" s="2" t="s">
        <v>54</v>
      </c>
      <c r="C113" s="2" t="s">
        <v>47</v>
      </c>
      <c r="D113" s="2" t="s">
        <v>11</v>
      </c>
      <c r="E113" s="2" t="s">
        <v>48</v>
      </c>
      <c r="F113" s="3">
        <v>26500</v>
      </c>
      <c r="G113" s="2" t="s">
        <v>21</v>
      </c>
      <c r="H113" s="2" t="s">
        <v>14</v>
      </c>
      <c r="I113" s="2" t="s">
        <v>33</v>
      </c>
    </row>
    <row r="114" spans="1:9" x14ac:dyDescent="0.25">
      <c r="A114" s="2">
        <v>113</v>
      </c>
      <c r="B114" s="2" t="s">
        <v>49</v>
      </c>
      <c r="C114" s="2" t="s">
        <v>16</v>
      </c>
      <c r="D114" s="2" t="s">
        <v>11</v>
      </c>
      <c r="E114" s="2" t="s">
        <v>62</v>
      </c>
      <c r="F114" s="3">
        <v>55500</v>
      </c>
      <c r="G114" s="2" t="s">
        <v>37</v>
      </c>
      <c r="H114" s="2" t="s">
        <v>22</v>
      </c>
      <c r="I114" s="2" t="s">
        <v>15</v>
      </c>
    </row>
    <row r="115" spans="1:9" x14ac:dyDescent="0.25">
      <c r="A115" s="2">
        <v>114</v>
      </c>
      <c r="B115" s="2" t="s">
        <v>54</v>
      </c>
      <c r="C115" s="2" t="s">
        <v>24</v>
      </c>
      <c r="D115" s="2" t="s">
        <v>11</v>
      </c>
      <c r="E115" s="2" t="s">
        <v>40</v>
      </c>
      <c r="F115" s="3">
        <v>119500</v>
      </c>
      <c r="G115" s="2" t="s">
        <v>56</v>
      </c>
      <c r="H115" s="2" t="s">
        <v>22</v>
      </c>
      <c r="I115" s="2" t="s">
        <v>38</v>
      </c>
    </row>
    <row r="116" spans="1:9" x14ac:dyDescent="0.25">
      <c r="A116" s="2">
        <v>115</v>
      </c>
      <c r="B116" s="2" t="s">
        <v>39</v>
      </c>
      <c r="C116" s="2" t="s">
        <v>16</v>
      </c>
      <c r="D116" s="2" t="s">
        <v>11</v>
      </c>
      <c r="E116" s="2" t="s">
        <v>48</v>
      </c>
      <c r="F116" s="3">
        <v>99500</v>
      </c>
      <c r="G116" s="2" t="s">
        <v>21</v>
      </c>
      <c r="H116" s="2" t="s">
        <v>29</v>
      </c>
      <c r="I116" s="2" t="s">
        <v>33</v>
      </c>
    </row>
    <row r="117" spans="1:9" x14ac:dyDescent="0.25">
      <c r="A117" s="2">
        <v>116</v>
      </c>
      <c r="B117" s="2" t="s">
        <v>30</v>
      </c>
      <c r="C117" s="2" t="s">
        <v>16</v>
      </c>
      <c r="D117" s="2" t="s">
        <v>11</v>
      </c>
      <c r="E117" s="2" t="s">
        <v>61</v>
      </c>
      <c r="F117" s="3">
        <v>104500</v>
      </c>
      <c r="G117" s="2" t="s">
        <v>42</v>
      </c>
      <c r="H117" s="2" t="s">
        <v>22</v>
      </c>
      <c r="I117" s="2" t="s">
        <v>15</v>
      </c>
    </row>
    <row r="118" spans="1:9" x14ac:dyDescent="0.25">
      <c r="A118" s="2">
        <v>117</v>
      </c>
      <c r="B118" s="2" t="s">
        <v>54</v>
      </c>
      <c r="C118" s="2" t="s">
        <v>51</v>
      </c>
      <c r="D118" s="2" t="s">
        <v>11</v>
      </c>
      <c r="E118" s="2" t="s">
        <v>60</v>
      </c>
      <c r="F118" s="3">
        <v>145500</v>
      </c>
      <c r="G118" s="2" t="s">
        <v>18</v>
      </c>
      <c r="H118" s="2" t="s">
        <v>22</v>
      </c>
      <c r="I118" s="2" t="s">
        <v>38</v>
      </c>
    </row>
    <row r="119" spans="1:9" x14ac:dyDescent="0.25">
      <c r="A119" s="2">
        <v>118</v>
      </c>
      <c r="B119" s="2" t="s">
        <v>46</v>
      </c>
      <c r="C119" s="2" t="s">
        <v>45</v>
      </c>
      <c r="D119" s="2" t="s">
        <v>35</v>
      </c>
      <c r="E119" s="2" t="s">
        <v>59</v>
      </c>
      <c r="F119" s="3">
        <v>185500</v>
      </c>
      <c r="G119" s="2" t="s">
        <v>57</v>
      </c>
      <c r="H119" s="2" t="s">
        <v>29</v>
      </c>
      <c r="I119" s="2" t="s">
        <v>15</v>
      </c>
    </row>
    <row r="120" spans="1:9" x14ac:dyDescent="0.25">
      <c r="A120" s="2">
        <v>119</v>
      </c>
      <c r="B120" s="2" t="s">
        <v>46</v>
      </c>
      <c r="C120" s="2" t="s">
        <v>10</v>
      </c>
      <c r="D120" s="2" t="s">
        <v>11</v>
      </c>
      <c r="E120" s="2" t="s">
        <v>60</v>
      </c>
      <c r="F120" s="3">
        <v>253500</v>
      </c>
      <c r="G120" s="2" t="s">
        <v>26</v>
      </c>
      <c r="H120" s="2" t="s">
        <v>29</v>
      </c>
      <c r="I120" s="2" t="s">
        <v>38</v>
      </c>
    </row>
    <row r="121" spans="1:9" x14ac:dyDescent="0.25">
      <c r="A121" s="2">
        <v>120</v>
      </c>
      <c r="B121" s="2" t="s">
        <v>39</v>
      </c>
      <c r="C121" s="2" t="s">
        <v>45</v>
      </c>
      <c r="D121" s="2" t="s">
        <v>65</v>
      </c>
      <c r="E121" s="2" t="s">
        <v>63</v>
      </c>
      <c r="F121" s="3">
        <v>120500</v>
      </c>
      <c r="G121" s="2" t="s">
        <v>44</v>
      </c>
      <c r="H121" s="2" t="s">
        <v>29</v>
      </c>
      <c r="I121" s="2" t="s">
        <v>33</v>
      </c>
    </row>
    <row r="122" spans="1:9" x14ac:dyDescent="0.25">
      <c r="A122" s="2">
        <v>121</v>
      </c>
      <c r="B122" s="2" t="s">
        <v>54</v>
      </c>
      <c r="C122" s="2" t="s">
        <v>47</v>
      </c>
      <c r="D122" s="2" t="s">
        <v>11</v>
      </c>
      <c r="E122" s="2" t="s">
        <v>28</v>
      </c>
      <c r="F122" s="3">
        <v>27000</v>
      </c>
      <c r="G122" s="2" t="s">
        <v>21</v>
      </c>
      <c r="H122" s="2" t="s">
        <v>14</v>
      </c>
      <c r="I122" s="2" t="s">
        <v>33</v>
      </c>
    </row>
    <row r="123" spans="1:9" x14ac:dyDescent="0.25">
      <c r="A123" s="2">
        <v>122</v>
      </c>
      <c r="B123" s="2" t="s">
        <v>39</v>
      </c>
      <c r="C123" s="2" t="s">
        <v>47</v>
      </c>
      <c r="D123" s="2" t="s">
        <v>11</v>
      </c>
      <c r="E123" s="2" t="s">
        <v>40</v>
      </c>
      <c r="F123" s="3">
        <v>22500</v>
      </c>
      <c r="G123" s="2" t="s">
        <v>13</v>
      </c>
      <c r="H123" s="2" t="s">
        <v>22</v>
      </c>
      <c r="I123" s="2" t="s">
        <v>33</v>
      </c>
    </row>
    <row r="124" spans="1:9" x14ac:dyDescent="0.25">
      <c r="A124" s="2">
        <v>123</v>
      </c>
      <c r="B124" s="2" t="s">
        <v>9</v>
      </c>
      <c r="C124" s="2" t="s">
        <v>31</v>
      </c>
      <c r="D124" s="2" t="s">
        <v>35</v>
      </c>
      <c r="E124" s="2" t="s">
        <v>50</v>
      </c>
      <c r="F124" s="3">
        <v>109000</v>
      </c>
      <c r="G124" s="2" t="s">
        <v>37</v>
      </c>
      <c r="H124" s="2" t="s">
        <v>22</v>
      </c>
      <c r="I124" s="2" t="s">
        <v>38</v>
      </c>
    </row>
    <row r="125" spans="1:9" x14ac:dyDescent="0.25">
      <c r="A125" s="2">
        <v>124</v>
      </c>
      <c r="B125" s="2" t="s">
        <v>54</v>
      </c>
      <c r="C125" s="2" t="s">
        <v>10</v>
      </c>
      <c r="D125" s="2" t="s">
        <v>11</v>
      </c>
      <c r="E125" s="2" t="s">
        <v>12</v>
      </c>
      <c r="F125" s="3">
        <v>277000</v>
      </c>
      <c r="G125" s="2" t="s">
        <v>42</v>
      </c>
      <c r="H125" s="2" t="s">
        <v>29</v>
      </c>
      <c r="I125" s="2" t="s">
        <v>33</v>
      </c>
    </row>
    <row r="126" spans="1:9" x14ac:dyDescent="0.25">
      <c r="A126" s="2">
        <v>125</v>
      </c>
      <c r="B126" s="2" t="s">
        <v>9</v>
      </c>
      <c r="C126" s="2" t="s">
        <v>16</v>
      </c>
      <c r="D126" s="2" t="s">
        <v>65</v>
      </c>
      <c r="E126" s="2" t="s">
        <v>62</v>
      </c>
      <c r="F126" s="3">
        <v>86500</v>
      </c>
      <c r="G126" s="2" t="s">
        <v>13</v>
      </c>
      <c r="H126" s="2" t="s">
        <v>22</v>
      </c>
      <c r="I126" s="2" t="s">
        <v>15</v>
      </c>
    </row>
    <row r="127" spans="1:9" x14ac:dyDescent="0.25">
      <c r="A127" s="2">
        <v>126</v>
      </c>
      <c r="B127" s="2" t="s">
        <v>49</v>
      </c>
      <c r="C127" s="2" t="s">
        <v>10</v>
      </c>
      <c r="D127" s="2" t="s">
        <v>11</v>
      </c>
      <c r="E127" s="2" t="s">
        <v>41</v>
      </c>
      <c r="F127" s="3">
        <v>76000</v>
      </c>
      <c r="G127" s="2" t="s">
        <v>44</v>
      </c>
      <c r="H127" s="2" t="s">
        <v>22</v>
      </c>
      <c r="I127" s="2" t="s">
        <v>38</v>
      </c>
    </row>
    <row r="128" spans="1:9" x14ac:dyDescent="0.25">
      <c r="A128" s="2">
        <v>127</v>
      </c>
      <c r="B128" s="2" t="s">
        <v>19</v>
      </c>
      <c r="C128" s="2" t="s">
        <v>16</v>
      </c>
      <c r="D128" s="2" t="s">
        <v>11</v>
      </c>
      <c r="E128" s="2" t="s">
        <v>52</v>
      </c>
      <c r="F128" s="3">
        <v>57000</v>
      </c>
      <c r="G128" s="2" t="s">
        <v>58</v>
      </c>
      <c r="H128" s="2" t="s">
        <v>14</v>
      </c>
      <c r="I128" s="2" t="s">
        <v>15</v>
      </c>
    </row>
    <row r="129" spans="1:9" x14ac:dyDescent="0.25">
      <c r="A129" s="2">
        <v>128</v>
      </c>
      <c r="B129" s="2" t="s">
        <v>46</v>
      </c>
      <c r="C129" s="2" t="s">
        <v>34</v>
      </c>
      <c r="D129" s="2" t="s">
        <v>11</v>
      </c>
      <c r="E129" s="2" t="s">
        <v>20</v>
      </c>
      <c r="F129" s="3">
        <v>81000</v>
      </c>
      <c r="G129" s="2" t="s">
        <v>56</v>
      </c>
      <c r="H129" s="2" t="s">
        <v>14</v>
      </c>
      <c r="I129" s="2" t="s">
        <v>15</v>
      </c>
    </row>
    <row r="130" spans="1:9" x14ac:dyDescent="0.25">
      <c r="A130" s="2">
        <v>129</v>
      </c>
      <c r="B130" s="2" t="s">
        <v>54</v>
      </c>
      <c r="C130" s="2" t="s">
        <v>24</v>
      </c>
      <c r="D130" s="2" t="s">
        <v>11</v>
      </c>
      <c r="E130" s="2" t="s">
        <v>28</v>
      </c>
      <c r="F130" s="3">
        <v>117500</v>
      </c>
      <c r="G130" s="2" t="s">
        <v>18</v>
      </c>
      <c r="H130" s="2" t="s">
        <v>22</v>
      </c>
      <c r="I130" s="2" t="s">
        <v>33</v>
      </c>
    </row>
    <row r="131" spans="1:9" x14ac:dyDescent="0.25">
      <c r="A131" s="2">
        <v>130</v>
      </c>
      <c r="B131" s="2" t="s">
        <v>54</v>
      </c>
      <c r="C131" s="2" t="s">
        <v>31</v>
      </c>
      <c r="D131" s="2" t="s">
        <v>65</v>
      </c>
      <c r="E131" s="2" t="s">
        <v>64</v>
      </c>
      <c r="F131" s="3">
        <v>188000</v>
      </c>
      <c r="G131" s="2" t="s">
        <v>13</v>
      </c>
      <c r="H131" s="2" t="s">
        <v>29</v>
      </c>
      <c r="I131" s="2" t="s">
        <v>38</v>
      </c>
    </row>
    <row r="132" spans="1:9" x14ac:dyDescent="0.25">
      <c r="A132" s="2">
        <v>131</v>
      </c>
      <c r="B132" s="2" t="s">
        <v>30</v>
      </c>
      <c r="C132" s="2" t="s">
        <v>34</v>
      </c>
      <c r="D132" s="2" t="s">
        <v>65</v>
      </c>
      <c r="E132" s="2" t="s">
        <v>60</v>
      </c>
      <c r="F132" s="3">
        <v>76000</v>
      </c>
      <c r="G132" s="2" t="s">
        <v>26</v>
      </c>
      <c r="H132" s="2" t="s">
        <v>14</v>
      </c>
      <c r="I132" s="2" t="s">
        <v>15</v>
      </c>
    </row>
    <row r="133" spans="1:9" x14ac:dyDescent="0.25">
      <c r="A133" s="2">
        <v>132</v>
      </c>
      <c r="B133" s="2" t="s">
        <v>30</v>
      </c>
      <c r="C133" s="2" t="s">
        <v>24</v>
      </c>
      <c r="D133" s="2" t="s">
        <v>11</v>
      </c>
      <c r="E133" s="2" t="s">
        <v>36</v>
      </c>
      <c r="F133" s="3">
        <v>118500</v>
      </c>
      <c r="G133" s="2" t="s">
        <v>57</v>
      </c>
      <c r="H133" s="2" t="s">
        <v>22</v>
      </c>
      <c r="I133" s="2" t="s">
        <v>15</v>
      </c>
    </row>
    <row r="134" spans="1:9" x14ac:dyDescent="0.25">
      <c r="A134" s="2">
        <v>133</v>
      </c>
      <c r="B134" s="2" t="s">
        <v>49</v>
      </c>
      <c r="C134" s="2" t="s">
        <v>45</v>
      </c>
      <c r="D134" s="2" t="s">
        <v>35</v>
      </c>
      <c r="E134" s="2" t="s">
        <v>64</v>
      </c>
      <c r="F134" s="3">
        <v>39000</v>
      </c>
      <c r="G134" s="2" t="s">
        <v>44</v>
      </c>
      <c r="H134" s="2" t="s">
        <v>14</v>
      </c>
      <c r="I134" s="2" t="s">
        <v>33</v>
      </c>
    </row>
    <row r="135" spans="1:9" x14ac:dyDescent="0.25">
      <c r="A135" s="2">
        <v>134</v>
      </c>
      <c r="B135" s="2" t="s">
        <v>19</v>
      </c>
      <c r="C135" s="2" t="s">
        <v>24</v>
      </c>
      <c r="D135" s="2" t="s">
        <v>11</v>
      </c>
      <c r="E135" s="2" t="s">
        <v>63</v>
      </c>
      <c r="F135" s="3">
        <v>146000</v>
      </c>
      <c r="G135" s="2" t="s">
        <v>37</v>
      </c>
      <c r="H135" s="2" t="s">
        <v>29</v>
      </c>
      <c r="I135" s="2" t="s">
        <v>15</v>
      </c>
    </row>
    <row r="136" spans="1:9" x14ac:dyDescent="0.25">
      <c r="A136" s="2">
        <v>135</v>
      </c>
      <c r="B136" s="2" t="s">
        <v>30</v>
      </c>
      <c r="C136" s="2" t="s">
        <v>45</v>
      </c>
      <c r="D136" s="2" t="s">
        <v>11</v>
      </c>
      <c r="E136" s="2" t="s">
        <v>55</v>
      </c>
      <c r="F136" s="3">
        <v>196000</v>
      </c>
      <c r="G136" s="2" t="s">
        <v>58</v>
      </c>
      <c r="H136" s="2" t="s">
        <v>29</v>
      </c>
      <c r="I136" s="2" t="s">
        <v>15</v>
      </c>
    </row>
    <row r="137" spans="1:9" x14ac:dyDescent="0.25">
      <c r="A137" s="2">
        <v>136</v>
      </c>
      <c r="B137" s="2" t="s">
        <v>23</v>
      </c>
      <c r="C137" s="2" t="s">
        <v>16</v>
      </c>
      <c r="D137" s="2" t="s">
        <v>11</v>
      </c>
      <c r="E137" s="2" t="s">
        <v>63</v>
      </c>
      <c r="F137" s="3">
        <v>85500</v>
      </c>
      <c r="G137" s="2" t="s">
        <v>18</v>
      </c>
      <c r="H137" s="2" t="s">
        <v>29</v>
      </c>
      <c r="I137" s="2" t="s">
        <v>38</v>
      </c>
    </row>
    <row r="138" spans="1:9" x14ac:dyDescent="0.25">
      <c r="A138" s="2">
        <v>137</v>
      </c>
      <c r="B138" s="2" t="s">
        <v>30</v>
      </c>
      <c r="C138" s="2" t="s">
        <v>51</v>
      </c>
      <c r="D138" s="2" t="s">
        <v>11</v>
      </c>
      <c r="E138" s="2" t="s">
        <v>60</v>
      </c>
      <c r="F138" s="3">
        <v>128000</v>
      </c>
      <c r="G138" s="2" t="s">
        <v>44</v>
      </c>
      <c r="H138" s="2" t="s">
        <v>22</v>
      </c>
      <c r="I138" s="2" t="s">
        <v>33</v>
      </c>
    </row>
    <row r="139" spans="1:9" x14ac:dyDescent="0.25">
      <c r="A139" s="2">
        <v>138</v>
      </c>
      <c r="B139" s="2" t="s">
        <v>54</v>
      </c>
      <c r="C139" s="2" t="s">
        <v>47</v>
      </c>
      <c r="D139" s="2" t="s">
        <v>11</v>
      </c>
      <c r="E139" s="2" t="s">
        <v>12</v>
      </c>
      <c r="F139" s="3">
        <v>69000</v>
      </c>
      <c r="G139" s="2" t="s">
        <v>37</v>
      </c>
      <c r="H139" s="2" t="s">
        <v>29</v>
      </c>
      <c r="I139" s="2" t="s">
        <v>33</v>
      </c>
    </row>
    <row r="140" spans="1:9" x14ac:dyDescent="0.25">
      <c r="A140" s="2">
        <v>139</v>
      </c>
      <c r="B140" s="2" t="s">
        <v>23</v>
      </c>
      <c r="C140" s="2" t="s">
        <v>47</v>
      </c>
      <c r="D140" s="2" t="s">
        <v>27</v>
      </c>
      <c r="E140" s="2" t="s">
        <v>66</v>
      </c>
      <c r="F140" s="3">
        <v>21000</v>
      </c>
      <c r="G140" s="2" t="s">
        <v>58</v>
      </c>
      <c r="H140" s="2" t="s">
        <v>22</v>
      </c>
      <c r="I140" s="2" t="s">
        <v>33</v>
      </c>
    </row>
    <row r="141" spans="1:9" x14ac:dyDescent="0.25">
      <c r="A141" s="2">
        <v>140</v>
      </c>
      <c r="B141" s="2" t="s">
        <v>30</v>
      </c>
      <c r="C141" s="2" t="s">
        <v>16</v>
      </c>
      <c r="D141" s="2" t="s">
        <v>27</v>
      </c>
      <c r="E141" s="2" t="s">
        <v>55</v>
      </c>
      <c r="F141" s="3">
        <v>64500</v>
      </c>
      <c r="G141" s="2" t="s">
        <v>32</v>
      </c>
      <c r="H141" s="2" t="s">
        <v>14</v>
      </c>
      <c r="I141" s="2" t="s">
        <v>33</v>
      </c>
    </row>
    <row r="142" spans="1:9" x14ac:dyDescent="0.25">
      <c r="A142" s="2">
        <v>141</v>
      </c>
      <c r="B142" s="2" t="s">
        <v>23</v>
      </c>
      <c r="C142" s="2" t="s">
        <v>34</v>
      </c>
      <c r="D142" s="2" t="s">
        <v>11</v>
      </c>
      <c r="E142" s="2" t="s">
        <v>28</v>
      </c>
      <c r="F142" s="3">
        <v>97000</v>
      </c>
      <c r="G142" s="2" t="s">
        <v>37</v>
      </c>
      <c r="H142" s="2" t="s">
        <v>29</v>
      </c>
      <c r="I142" s="2" t="s">
        <v>38</v>
      </c>
    </row>
    <row r="143" spans="1:9" x14ac:dyDescent="0.25">
      <c r="A143" s="2">
        <v>142</v>
      </c>
      <c r="B143" s="2" t="s">
        <v>39</v>
      </c>
      <c r="C143" s="2" t="s">
        <v>10</v>
      </c>
      <c r="D143" s="2" t="s">
        <v>35</v>
      </c>
      <c r="E143" s="2" t="s">
        <v>64</v>
      </c>
      <c r="F143" s="3">
        <v>86000</v>
      </c>
      <c r="G143" s="2" t="s">
        <v>58</v>
      </c>
      <c r="H143" s="2" t="s">
        <v>22</v>
      </c>
      <c r="I143" s="2" t="s">
        <v>15</v>
      </c>
    </row>
    <row r="144" spans="1:9" x14ac:dyDescent="0.25">
      <c r="A144" s="2">
        <v>143</v>
      </c>
      <c r="B144" s="2" t="s">
        <v>39</v>
      </c>
      <c r="C144" s="2" t="s">
        <v>16</v>
      </c>
      <c r="D144" s="2" t="s">
        <v>11</v>
      </c>
      <c r="E144" s="2" t="s">
        <v>50</v>
      </c>
      <c r="F144" s="3">
        <v>64500</v>
      </c>
      <c r="G144" s="2" t="s">
        <v>13</v>
      </c>
      <c r="H144" s="2" t="s">
        <v>22</v>
      </c>
      <c r="I144" s="2" t="s">
        <v>33</v>
      </c>
    </row>
    <row r="145" spans="1:9" x14ac:dyDescent="0.25">
      <c r="A145" s="2">
        <v>144</v>
      </c>
      <c r="B145" s="2" t="s">
        <v>46</v>
      </c>
      <c r="C145" s="2" t="s">
        <v>47</v>
      </c>
      <c r="D145" s="2" t="s">
        <v>35</v>
      </c>
      <c r="E145" s="2" t="s">
        <v>48</v>
      </c>
      <c r="F145" s="3">
        <v>40000</v>
      </c>
      <c r="G145" s="2" t="s">
        <v>53</v>
      </c>
      <c r="H145" s="2" t="s">
        <v>22</v>
      </c>
      <c r="I145" s="2" t="s">
        <v>38</v>
      </c>
    </row>
    <row r="146" spans="1:9" x14ac:dyDescent="0.25">
      <c r="A146" s="2">
        <v>145</v>
      </c>
      <c r="B146" s="2" t="s">
        <v>19</v>
      </c>
      <c r="C146" s="2" t="s">
        <v>45</v>
      </c>
      <c r="D146" s="2" t="s">
        <v>11</v>
      </c>
      <c r="E146" s="2" t="s">
        <v>12</v>
      </c>
      <c r="F146" s="3">
        <v>101000</v>
      </c>
      <c r="G146" s="2" t="s">
        <v>37</v>
      </c>
      <c r="H146" s="2" t="s">
        <v>22</v>
      </c>
      <c r="I146" s="2" t="s">
        <v>15</v>
      </c>
    </row>
    <row r="147" spans="1:9" x14ac:dyDescent="0.25">
      <c r="A147" s="2">
        <v>146</v>
      </c>
      <c r="B147" s="2" t="s">
        <v>23</v>
      </c>
      <c r="C147" s="2" t="s">
        <v>10</v>
      </c>
      <c r="D147" s="2" t="s">
        <v>11</v>
      </c>
      <c r="E147" s="2" t="s">
        <v>59</v>
      </c>
      <c r="F147" s="3">
        <v>56500</v>
      </c>
      <c r="G147" s="2" t="s">
        <v>58</v>
      </c>
      <c r="H147" s="2" t="s">
        <v>14</v>
      </c>
      <c r="I147" s="2" t="s">
        <v>38</v>
      </c>
    </row>
    <row r="148" spans="1:9" x14ac:dyDescent="0.25">
      <c r="A148" s="2">
        <v>147</v>
      </c>
      <c r="B148" s="2" t="s">
        <v>49</v>
      </c>
      <c r="C148" s="2" t="s">
        <v>10</v>
      </c>
      <c r="D148" s="2" t="s">
        <v>27</v>
      </c>
      <c r="E148" s="2" t="s">
        <v>12</v>
      </c>
      <c r="F148" s="3">
        <v>45500</v>
      </c>
      <c r="G148" s="2" t="s">
        <v>32</v>
      </c>
      <c r="H148" s="2" t="s">
        <v>14</v>
      </c>
      <c r="I148" s="2" t="s">
        <v>33</v>
      </c>
    </row>
    <row r="149" spans="1:9" x14ac:dyDescent="0.25">
      <c r="A149" s="2">
        <v>148</v>
      </c>
      <c r="B149" s="2" t="s">
        <v>19</v>
      </c>
      <c r="C149" s="2" t="s">
        <v>34</v>
      </c>
      <c r="D149" s="2" t="s">
        <v>27</v>
      </c>
      <c r="E149" s="2" t="s">
        <v>12</v>
      </c>
      <c r="F149" s="3">
        <v>89000</v>
      </c>
      <c r="G149" s="2" t="s">
        <v>57</v>
      </c>
      <c r="H149" s="2" t="s">
        <v>22</v>
      </c>
      <c r="I149" s="2" t="s">
        <v>15</v>
      </c>
    </row>
    <row r="150" spans="1:9" x14ac:dyDescent="0.25">
      <c r="A150" s="2">
        <v>149</v>
      </c>
      <c r="B150" s="2" t="s">
        <v>39</v>
      </c>
      <c r="C150" s="2" t="s">
        <v>51</v>
      </c>
      <c r="D150" s="2" t="s">
        <v>11</v>
      </c>
      <c r="E150" s="2" t="s">
        <v>52</v>
      </c>
      <c r="F150" s="3">
        <v>45000</v>
      </c>
      <c r="G150" s="2" t="s">
        <v>53</v>
      </c>
      <c r="H150" s="2" t="s">
        <v>14</v>
      </c>
      <c r="I150" s="2" t="s">
        <v>33</v>
      </c>
    </row>
    <row r="151" spans="1:9" x14ac:dyDescent="0.25">
      <c r="A151" s="2">
        <v>150</v>
      </c>
      <c r="B151" s="2" t="s">
        <v>23</v>
      </c>
      <c r="C151" s="2" t="s">
        <v>34</v>
      </c>
      <c r="D151" s="2" t="s">
        <v>11</v>
      </c>
      <c r="E151" s="2" t="s">
        <v>66</v>
      </c>
      <c r="F151" s="3">
        <v>39500</v>
      </c>
      <c r="G151" s="2" t="s">
        <v>53</v>
      </c>
      <c r="H151" s="2" t="s">
        <v>14</v>
      </c>
      <c r="I151" s="2" t="s">
        <v>38</v>
      </c>
    </row>
    <row r="152" spans="1:9" x14ac:dyDescent="0.25">
      <c r="A152" s="2">
        <v>151</v>
      </c>
      <c r="B152" s="2" t="s">
        <v>46</v>
      </c>
      <c r="C152" s="2" t="s">
        <v>47</v>
      </c>
      <c r="D152" s="2" t="s">
        <v>11</v>
      </c>
      <c r="E152" s="2" t="s">
        <v>60</v>
      </c>
      <c r="F152" s="3">
        <v>39000</v>
      </c>
      <c r="G152" s="2" t="s">
        <v>18</v>
      </c>
      <c r="H152" s="2" t="s">
        <v>22</v>
      </c>
      <c r="I152" s="2" t="s">
        <v>38</v>
      </c>
    </row>
    <row r="153" spans="1:9" x14ac:dyDescent="0.25">
      <c r="A153" s="2">
        <v>152</v>
      </c>
      <c r="B153" s="2" t="s">
        <v>54</v>
      </c>
      <c r="C153" s="2" t="s">
        <v>34</v>
      </c>
      <c r="D153" s="2" t="s">
        <v>35</v>
      </c>
      <c r="E153" s="2" t="s">
        <v>41</v>
      </c>
      <c r="F153" s="3">
        <v>190000</v>
      </c>
      <c r="G153" s="2" t="s">
        <v>18</v>
      </c>
      <c r="H153" s="2" t="s">
        <v>29</v>
      </c>
      <c r="I153" s="2" t="s">
        <v>33</v>
      </c>
    </row>
    <row r="154" spans="1:9" x14ac:dyDescent="0.25">
      <c r="A154" s="2">
        <v>153</v>
      </c>
      <c r="B154" s="2" t="s">
        <v>49</v>
      </c>
      <c r="C154" s="2" t="s">
        <v>10</v>
      </c>
      <c r="D154" s="2" t="s">
        <v>65</v>
      </c>
      <c r="E154" s="2" t="s">
        <v>36</v>
      </c>
      <c r="F154" s="3">
        <v>77000</v>
      </c>
      <c r="G154" s="2" t="s">
        <v>58</v>
      </c>
      <c r="H154" s="2" t="s">
        <v>22</v>
      </c>
      <c r="I154" s="2" t="s">
        <v>33</v>
      </c>
    </row>
    <row r="155" spans="1:9" x14ac:dyDescent="0.25">
      <c r="A155" s="2">
        <v>154</v>
      </c>
      <c r="B155" s="2" t="s">
        <v>54</v>
      </c>
      <c r="C155" s="2" t="s">
        <v>47</v>
      </c>
      <c r="D155" s="2" t="s">
        <v>35</v>
      </c>
      <c r="E155" s="2" t="s">
        <v>25</v>
      </c>
      <c r="F155" s="3">
        <v>58500</v>
      </c>
      <c r="G155" s="2" t="s">
        <v>58</v>
      </c>
      <c r="H155" s="2" t="s">
        <v>29</v>
      </c>
      <c r="I155" s="2" t="s">
        <v>15</v>
      </c>
    </row>
    <row r="156" spans="1:9" x14ac:dyDescent="0.25">
      <c r="A156" s="2">
        <v>155</v>
      </c>
      <c r="B156" s="2" t="s">
        <v>23</v>
      </c>
      <c r="C156" s="2" t="s">
        <v>16</v>
      </c>
      <c r="D156" s="2" t="s">
        <v>65</v>
      </c>
      <c r="E156" s="2" t="s">
        <v>61</v>
      </c>
      <c r="F156" s="3">
        <v>58000</v>
      </c>
      <c r="G156" s="2" t="s">
        <v>18</v>
      </c>
      <c r="H156" s="2" t="s">
        <v>22</v>
      </c>
      <c r="I156" s="2" t="s">
        <v>38</v>
      </c>
    </row>
    <row r="157" spans="1:9" x14ac:dyDescent="0.25">
      <c r="A157" s="2">
        <v>156</v>
      </c>
      <c r="B157" s="2" t="s">
        <v>9</v>
      </c>
      <c r="C157" s="2" t="s">
        <v>47</v>
      </c>
      <c r="D157" s="2" t="s">
        <v>35</v>
      </c>
      <c r="E157" s="2" t="s">
        <v>50</v>
      </c>
      <c r="F157" s="3">
        <v>49500</v>
      </c>
      <c r="G157" s="2" t="s">
        <v>26</v>
      </c>
      <c r="H157" s="2" t="s">
        <v>29</v>
      </c>
      <c r="I157" s="2" t="s">
        <v>15</v>
      </c>
    </row>
    <row r="158" spans="1:9" x14ac:dyDescent="0.25">
      <c r="A158" s="2">
        <v>157</v>
      </c>
      <c r="B158" s="2" t="s">
        <v>19</v>
      </c>
      <c r="C158" s="2" t="s">
        <v>16</v>
      </c>
      <c r="D158" s="2" t="s">
        <v>11</v>
      </c>
      <c r="E158" s="2" t="s">
        <v>28</v>
      </c>
      <c r="F158" s="3">
        <v>78500</v>
      </c>
      <c r="G158" s="2" t="s">
        <v>13</v>
      </c>
      <c r="H158" s="2" t="s">
        <v>22</v>
      </c>
      <c r="I158" s="2" t="s">
        <v>38</v>
      </c>
    </row>
    <row r="159" spans="1:9" x14ac:dyDescent="0.25">
      <c r="A159" s="2">
        <v>158</v>
      </c>
      <c r="B159" s="2" t="s">
        <v>46</v>
      </c>
      <c r="C159" s="2" t="s">
        <v>31</v>
      </c>
      <c r="D159" s="2" t="s">
        <v>11</v>
      </c>
      <c r="E159" s="2" t="s">
        <v>55</v>
      </c>
      <c r="F159" s="3">
        <v>72000</v>
      </c>
      <c r="G159" s="2" t="s">
        <v>56</v>
      </c>
      <c r="H159" s="2" t="s">
        <v>14</v>
      </c>
      <c r="I159" s="2" t="s">
        <v>33</v>
      </c>
    </row>
    <row r="160" spans="1:9" x14ac:dyDescent="0.25">
      <c r="A160" s="2">
        <v>159</v>
      </c>
      <c r="B160" s="2" t="s">
        <v>9</v>
      </c>
      <c r="C160" s="2" t="s">
        <v>47</v>
      </c>
      <c r="D160" s="2" t="s">
        <v>11</v>
      </c>
      <c r="E160" s="2" t="s">
        <v>55</v>
      </c>
      <c r="F160" s="3">
        <v>22000</v>
      </c>
      <c r="G160" s="2" t="s">
        <v>53</v>
      </c>
      <c r="H160" s="2" t="s">
        <v>14</v>
      </c>
      <c r="I160" s="2" t="s">
        <v>33</v>
      </c>
    </row>
    <row r="161" spans="1:9" x14ac:dyDescent="0.25">
      <c r="A161" s="2">
        <v>160</v>
      </c>
      <c r="B161" s="2" t="s">
        <v>23</v>
      </c>
      <c r="C161" s="2" t="s">
        <v>47</v>
      </c>
      <c r="D161" s="2" t="s">
        <v>11</v>
      </c>
      <c r="E161" s="2" t="s">
        <v>43</v>
      </c>
      <c r="F161" s="3">
        <v>32000</v>
      </c>
      <c r="G161" s="2" t="s">
        <v>42</v>
      </c>
      <c r="H161" s="2" t="s">
        <v>29</v>
      </c>
      <c r="I161" s="2" t="s">
        <v>15</v>
      </c>
    </row>
    <row r="162" spans="1:9" x14ac:dyDescent="0.25">
      <c r="A162" s="2">
        <v>161</v>
      </c>
      <c r="B162" s="2" t="s">
        <v>23</v>
      </c>
      <c r="C162" s="2" t="s">
        <v>47</v>
      </c>
      <c r="D162" s="2" t="s">
        <v>11</v>
      </c>
      <c r="E162" s="2" t="s">
        <v>59</v>
      </c>
      <c r="F162" s="3">
        <v>13000</v>
      </c>
      <c r="G162" s="2" t="s">
        <v>56</v>
      </c>
      <c r="H162" s="2" t="s">
        <v>14</v>
      </c>
      <c r="I162" s="2" t="s">
        <v>33</v>
      </c>
    </row>
    <row r="163" spans="1:9" x14ac:dyDescent="0.25">
      <c r="A163" s="2">
        <v>162</v>
      </c>
      <c r="B163" s="2" t="s">
        <v>9</v>
      </c>
      <c r="C163" s="2" t="s">
        <v>31</v>
      </c>
      <c r="D163" s="2" t="s">
        <v>35</v>
      </c>
      <c r="E163" s="2" t="s">
        <v>55</v>
      </c>
      <c r="F163" s="3">
        <v>64000</v>
      </c>
      <c r="G163" s="2" t="s">
        <v>57</v>
      </c>
      <c r="H163" s="2" t="s">
        <v>14</v>
      </c>
      <c r="I163" s="2" t="s">
        <v>38</v>
      </c>
    </row>
    <row r="164" spans="1:9" x14ac:dyDescent="0.25">
      <c r="A164" s="2">
        <v>163</v>
      </c>
      <c r="B164" s="2" t="s">
        <v>46</v>
      </c>
      <c r="C164" s="2" t="s">
        <v>10</v>
      </c>
      <c r="D164" s="2" t="s">
        <v>11</v>
      </c>
      <c r="E164" s="2" t="s">
        <v>40</v>
      </c>
      <c r="F164" s="3">
        <v>104000</v>
      </c>
      <c r="G164" s="2" t="s">
        <v>42</v>
      </c>
      <c r="H164" s="2" t="s">
        <v>14</v>
      </c>
      <c r="I164" s="2" t="s">
        <v>15</v>
      </c>
    </row>
    <row r="165" spans="1:9" x14ac:dyDescent="0.25">
      <c r="A165" s="2">
        <v>164</v>
      </c>
      <c r="B165" s="2" t="s">
        <v>30</v>
      </c>
      <c r="C165" s="2" t="s">
        <v>31</v>
      </c>
      <c r="D165" s="2" t="s">
        <v>11</v>
      </c>
      <c r="E165" s="2" t="s">
        <v>52</v>
      </c>
      <c r="F165" s="3">
        <v>73500</v>
      </c>
      <c r="G165" s="2" t="s">
        <v>37</v>
      </c>
      <c r="H165" s="2" t="s">
        <v>14</v>
      </c>
      <c r="I165" s="2" t="s">
        <v>33</v>
      </c>
    </row>
    <row r="166" spans="1:9" x14ac:dyDescent="0.25">
      <c r="A166" s="2">
        <v>165</v>
      </c>
      <c r="B166" s="2" t="s">
        <v>39</v>
      </c>
      <c r="C166" s="2" t="s">
        <v>10</v>
      </c>
      <c r="D166" s="2" t="s">
        <v>11</v>
      </c>
      <c r="E166" s="2" t="s">
        <v>61</v>
      </c>
      <c r="F166" s="3">
        <v>58500</v>
      </c>
      <c r="G166" s="2" t="s">
        <v>26</v>
      </c>
      <c r="H166" s="2" t="s">
        <v>14</v>
      </c>
      <c r="I166" s="2" t="s">
        <v>38</v>
      </c>
    </row>
    <row r="167" spans="1:9" x14ac:dyDescent="0.25">
      <c r="A167" s="2">
        <v>166</v>
      </c>
      <c r="B167" s="2" t="s">
        <v>39</v>
      </c>
      <c r="C167" s="2" t="s">
        <v>31</v>
      </c>
      <c r="D167" s="2" t="s">
        <v>11</v>
      </c>
      <c r="E167" s="2" t="s">
        <v>25</v>
      </c>
      <c r="F167" s="3">
        <v>115500</v>
      </c>
      <c r="G167" s="2" t="s">
        <v>58</v>
      </c>
      <c r="H167" s="2" t="s">
        <v>29</v>
      </c>
      <c r="I167" s="2" t="s">
        <v>33</v>
      </c>
    </row>
    <row r="168" spans="1:9" x14ac:dyDescent="0.25">
      <c r="A168" s="2">
        <v>167</v>
      </c>
      <c r="B168" s="2" t="s">
        <v>39</v>
      </c>
      <c r="C168" s="2" t="s">
        <v>51</v>
      </c>
      <c r="D168" s="2" t="s">
        <v>27</v>
      </c>
      <c r="E168" s="2" t="s">
        <v>41</v>
      </c>
      <c r="F168" s="3">
        <v>111000</v>
      </c>
      <c r="G168" s="2" t="s">
        <v>42</v>
      </c>
      <c r="H168" s="2" t="s">
        <v>29</v>
      </c>
      <c r="I168" s="2" t="s">
        <v>15</v>
      </c>
    </row>
    <row r="169" spans="1:9" x14ac:dyDescent="0.25">
      <c r="A169" s="2">
        <v>168</v>
      </c>
      <c r="B169" s="2" t="s">
        <v>46</v>
      </c>
      <c r="C169" s="2" t="s">
        <v>45</v>
      </c>
      <c r="D169" s="2" t="s">
        <v>11</v>
      </c>
      <c r="E169" s="2" t="s">
        <v>43</v>
      </c>
      <c r="F169" s="3">
        <v>116500</v>
      </c>
      <c r="G169" s="2" t="s">
        <v>18</v>
      </c>
      <c r="H169" s="2" t="s">
        <v>22</v>
      </c>
      <c r="I169" s="2" t="s">
        <v>15</v>
      </c>
    </row>
    <row r="170" spans="1:9" x14ac:dyDescent="0.25">
      <c r="A170" s="2">
        <v>169</v>
      </c>
      <c r="B170" s="2" t="s">
        <v>46</v>
      </c>
      <c r="C170" s="2" t="s">
        <v>47</v>
      </c>
      <c r="D170" s="2" t="s">
        <v>11</v>
      </c>
      <c r="E170" s="2" t="s">
        <v>20</v>
      </c>
      <c r="F170" s="3">
        <v>37000</v>
      </c>
      <c r="G170" s="2" t="s">
        <v>37</v>
      </c>
      <c r="H170" s="2" t="s">
        <v>22</v>
      </c>
      <c r="I170" s="2" t="s">
        <v>33</v>
      </c>
    </row>
    <row r="171" spans="1:9" x14ac:dyDescent="0.25">
      <c r="A171" s="2">
        <v>170</v>
      </c>
      <c r="B171" s="2" t="s">
        <v>19</v>
      </c>
      <c r="C171" s="2" t="s">
        <v>16</v>
      </c>
      <c r="D171" s="2" t="s">
        <v>65</v>
      </c>
      <c r="E171" s="2" t="s">
        <v>41</v>
      </c>
      <c r="F171" s="3">
        <v>60500</v>
      </c>
      <c r="G171" s="2" t="s">
        <v>42</v>
      </c>
      <c r="H171" s="2" t="s">
        <v>14</v>
      </c>
      <c r="I171" s="2" t="s">
        <v>15</v>
      </c>
    </row>
    <row r="172" spans="1:9" x14ac:dyDescent="0.25">
      <c r="A172" s="2">
        <v>171</v>
      </c>
      <c r="B172" s="2" t="s">
        <v>39</v>
      </c>
      <c r="C172" s="2" t="s">
        <v>24</v>
      </c>
      <c r="D172" s="2" t="s">
        <v>11</v>
      </c>
      <c r="E172" s="2" t="s">
        <v>62</v>
      </c>
      <c r="F172" s="3">
        <v>43500</v>
      </c>
      <c r="G172" s="2" t="s">
        <v>13</v>
      </c>
      <c r="H172" s="2" t="s">
        <v>14</v>
      </c>
      <c r="I172" s="2" t="s">
        <v>38</v>
      </c>
    </row>
    <row r="173" spans="1:9" x14ac:dyDescent="0.25">
      <c r="A173" s="2">
        <v>172</v>
      </c>
      <c r="B173" s="2" t="s">
        <v>39</v>
      </c>
      <c r="C173" s="2" t="s">
        <v>16</v>
      </c>
      <c r="D173" s="2" t="s">
        <v>11</v>
      </c>
      <c r="E173" s="2" t="s">
        <v>12</v>
      </c>
      <c r="F173" s="3">
        <v>98500</v>
      </c>
      <c r="G173" s="2" t="s">
        <v>37</v>
      </c>
      <c r="H173" s="2" t="s">
        <v>29</v>
      </c>
      <c r="I173" s="2" t="s">
        <v>33</v>
      </c>
    </row>
    <row r="174" spans="1:9" x14ac:dyDescent="0.25">
      <c r="A174" s="2">
        <v>173</v>
      </c>
      <c r="B174" s="2" t="s">
        <v>9</v>
      </c>
      <c r="C174" s="2" t="s">
        <v>16</v>
      </c>
      <c r="D174" s="2" t="s">
        <v>35</v>
      </c>
      <c r="E174" s="2" t="s">
        <v>41</v>
      </c>
      <c r="F174" s="3">
        <v>98000</v>
      </c>
      <c r="G174" s="2" t="s">
        <v>56</v>
      </c>
      <c r="H174" s="2" t="s">
        <v>22</v>
      </c>
      <c r="I174" s="2" t="s">
        <v>15</v>
      </c>
    </row>
    <row r="175" spans="1:9" x14ac:dyDescent="0.25">
      <c r="A175" s="2">
        <v>174</v>
      </c>
      <c r="B175" s="2" t="s">
        <v>23</v>
      </c>
      <c r="C175" s="2" t="s">
        <v>16</v>
      </c>
      <c r="D175" s="2" t="s">
        <v>11</v>
      </c>
      <c r="E175" s="2" t="s">
        <v>43</v>
      </c>
      <c r="F175" s="3">
        <v>51500</v>
      </c>
      <c r="G175" s="2" t="s">
        <v>26</v>
      </c>
      <c r="H175" s="2" t="s">
        <v>22</v>
      </c>
      <c r="I175" s="2" t="s">
        <v>15</v>
      </c>
    </row>
    <row r="176" spans="1:9" x14ac:dyDescent="0.25">
      <c r="A176" s="2">
        <v>175</v>
      </c>
      <c r="B176" s="2" t="s">
        <v>23</v>
      </c>
      <c r="C176" s="2" t="s">
        <v>51</v>
      </c>
      <c r="D176" s="2" t="s">
        <v>27</v>
      </c>
      <c r="E176" s="2" t="s">
        <v>48</v>
      </c>
      <c r="F176" s="3">
        <v>63500</v>
      </c>
      <c r="G176" s="2" t="s">
        <v>44</v>
      </c>
      <c r="H176" s="2" t="s">
        <v>22</v>
      </c>
      <c r="I176" s="2" t="s">
        <v>33</v>
      </c>
    </row>
    <row r="177" spans="1:9" x14ac:dyDescent="0.25">
      <c r="A177" s="2">
        <v>176</v>
      </c>
      <c r="B177" s="2" t="s">
        <v>9</v>
      </c>
      <c r="C177" s="2" t="s">
        <v>34</v>
      </c>
      <c r="D177" s="2" t="s">
        <v>11</v>
      </c>
      <c r="E177" s="2" t="s">
        <v>36</v>
      </c>
      <c r="F177" s="3">
        <v>168500</v>
      </c>
      <c r="G177" s="2" t="s">
        <v>26</v>
      </c>
      <c r="H177" s="2" t="s">
        <v>29</v>
      </c>
      <c r="I177" s="2" t="s">
        <v>15</v>
      </c>
    </row>
    <row r="178" spans="1:9" x14ac:dyDescent="0.25">
      <c r="A178" s="2">
        <v>177</v>
      </c>
      <c r="B178" s="2" t="s">
        <v>23</v>
      </c>
      <c r="C178" s="2" t="s">
        <v>34</v>
      </c>
      <c r="D178" s="2" t="s">
        <v>11</v>
      </c>
      <c r="E178" s="2" t="s">
        <v>52</v>
      </c>
      <c r="F178" s="3">
        <v>39500</v>
      </c>
      <c r="G178" s="2" t="s">
        <v>37</v>
      </c>
      <c r="H178" s="2" t="s">
        <v>14</v>
      </c>
      <c r="I178" s="2" t="s">
        <v>33</v>
      </c>
    </row>
    <row r="179" spans="1:9" x14ac:dyDescent="0.25">
      <c r="A179" s="2">
        <v>178</v>
      </c>
      <c r="B179" s="2" t="s">
        <v>19</v>
      </c>
      <c r="C179" s="2" t="s">
        <v>31</v>
      </c>
      <c r="D179" s="2" t="s">
        <v>11</v>
      </c>
      <c r="E179" s="2" t="s">
        <v>63</v>
      </c>
      <c r="F179" s="3">
        <v>61000</v>
      </c>
      <c r="G179" s="2" t="s">
        <v>21</v>
      </c>
      <c r="H179" s="2" t="s">
        <v>14</v>
      </c>
      <c r="I179" s="2" t="s">
        <v>15</v>
      </c>
    </row>
    <row r="180" spans="1:9" x14ac:dyDescent="0.25">
      <c r="A180" s="2">
        <v>179</v>
      </c>
      <c r="B180" s="2" t="s">
        <v>39</v>
      </c>
      <c r="C180" s="2" t="s">
        <v>51</v>
      </c>
      <c r="D180" s="2" t="s">
        <v>27</v>
      </c>
      <c r="E180" s="2" t="s">
        <v>17</v>
      </c>
      <c r="F180" s="3">
        <v>48000</v>
      </c>
      <c r="G180" s="2" t="s">
        <v>56</v>
      </c>
      <c r="H180" s="2" t="s">
        <v>14</v>
      </c>
      <c r="I180" s="2" t="s">
        <v>33</v>
      </c>
    </row>
    <row r="181" spans="1:9" x14ac:dyDescent="0.25">
      <c r="A181" s="2">
        <v>180</v>
      </c>
      <c r="B181" s="2" t="s">
        <v>54</v>
      </c>
      <c r="C181" s="2" t="s">
        <v>31</v>
      </c>
      <c r="D181" s="2" t="s">
        <v>35</v>
      </c>
      <c r="E181" s="2" t="s">
        <v>25</v>
      </c>
      <c r="F181" s="3">
        <v>85500</v>
      </c>
      <c r="G181" s="2" t="s">
        <v>58</v>
      </c>
      <c r="H181" s="2" t="s">
        <v>14</v>
      </c>
      <c r="I181" s="2" t="s">
        <v>38</v>
      </c>
    </row>
    <row r="182" spans="1:9" x14ac:dyDescent="0.25">
      <c r="A182" s="2">
        <v>181</v>
      </c>
      <c r="B182" s="2" t="s">
        <v>30</v>
      </c>
      <c r="C182" s="2" t="s">
        <v>24</v>
      </c>
      <c r="D182" s="2" t="s">
        <v>11</v>
      </c>
      <c r="E182" s="2" t="s">
        <v>55</v>
      </c>
      <c r="F182" s="3">
        <v>164000</v>
      </c>
      <c r="G182" s="2" t="s">
        <v>42</v>
      </c>
      <c r="H182" s="2" t="s">
        <v>29</v>
      </c>
      <c r="I182" s="2" t="s">
        <v>15</v>
      </c>
    </row>
    <row r="183" spans="1:9" x14ac:dyDescent="0.25">
      <c r="A183" s="2">
        <v>182</v>
      </c>
      <c r="B183" s="2" t="s">
        <v>49</v>
      </c>
      <c r="C183" s="2" t="s">
        <v>10</v>
      </c>
      <c r="D183" s="2" t="s">
        <v>11</v>
      </c>
      <c r="E183" s="2" t="s">
        <v>64</v>
      </c>
      <c r="F183" s="3">
        <v>51000</v>
      </c>
      <c r="G183" s="2" t="s">
        <v>58</v>
      </c>
      <c r="H183" s="2" t="s">
        <v>14</v>
      </c>
      <c r="I183" s="2" t="s">
        <v>33</v>
      </c>
    </row>
    <row r="184" spans="1:9" x14ac:dyDescent="0.25">
      <c r="A184" s="2">
        <v>183</v>
      </c>
      <c r="B184" s="2" t="s">
        <v>46</v>
      </c>
      <c r="C184" s="2" t="s">
        <v>45</v>
      </c>
      <c r="D184" s="2" t="s">
        <v>11</v>
      </c>
      <c r="E184" s="2" t="s">
        <v>41</v>
      </c>
      <c r="F184" s="3">
        <v>118500</v>
      </c>
      <c r="G184" s="2" t="s">
        <v>37</v>
      </c>
      <c r="H184" s="2" t="s">
        <v>22</v>
      </c>
      <c r="I184" s="2" t="s">
        <v>33</v>
      </c>
    </row>
    <row r="185" spans="1:9" x14ac:dyDescent="0.25">
      <c r="A185" s="2">
        <v>184</v>
      </c>
      <c r="B185" s="2" t="s">
        <v>54</v>
      </c>
      <c r="C185" s="2" t="s">
        <v>51</v>
      </c>
      <c r="D185" s="2" t="s">
        <v>65</v>
      </c>
      <c r="E185" s="2" t="s">
        <v>28</v>
      </c>
      <c r="F185" s="3">
        <v>82000</v>
      </c>
      <c r="G185" s="2" t="s">
        <v>13</v>
      </c>
      <c r="H185" s="2" t="s">
        <v>14</v>
      </c>
      <c r="I185" s="2" t="s">
        <v>38</v>
      </c>
    </row>
    <row r="186" spans="1:9" x14ac:dyDescent="0.25">
      <c r="A186" s="2">
        <v>185</v>
      </c>
      <c r="B186" s="2" t="s">
        <v>39</v>
      </c>
      <c r="C186" s="2" t="s">
        <v>10</v>
      </c>
      <c r="D186" s="2" t="s">
        <v>11</v>
      </c>
      <c r="E186" s="2" t="s">
        <v>28</v>
      </c>
      <c r="F186" s="3">
        <v>93000</v>
      </c>
      <c r="G186" s="2" t="s">
        <v>18</v>
      </c>
      <c r="H186" s="2" t="s">
        <v>22</v>
      </c>
      <c r="I186" s="2" t="s">
        <v>33</v>
      </c>
    </row>
    <row r="187" spans="1:9" x14ac:dyDescent="0.25">
      <c r="A187" s="2">
        <v>186</v>
      </c>
      <c r="B187" s="2" t="s">
        <v>23</v>
      </c>
      <c r="C187" s="2" t="s">
        <v>31</v>
      </c>
      <c r="D187" s="2" t="s">
        <v>35</v>
      </c>
      <c r="E187" s="2" t="s">
        <v>36</v>
      </c>
      <c r="F187" s="3">
        <v>67500</v>
      </c>
      <c r="G187" s="2" t="s">
        <v>37</v>
      </c>
      <c r="H187" s="2" t="s">
        <v>22</v>
      </c>
      <c r="I187" s="2" t="s">
        <v>38</v>
      </c>
    </row>
    <row r="188" spans="1:9" x14ac:dyDescent="0.25">
      <c r="A188" s="2">
        <v>187</v>
      </c>
      <c r="B188" s="2" t="s">
        <v>23</v>
      </c>
      <c r="C188" s="2" t="s">
        <v>47</v>
      </c>
      <c r="D188" s="2" t="s">
        <v>11</v>
      </c>
      <c r="E188" s="2" t="s">
        <v>50</v>
      </c>
      <c r="F188" s="3">
        <v>30000</v>
      </c>
      <c r="G188" s="2" t="s">
        <v>42</v>
      </c>
      <c r="H188" s="2" t="s">
        <v>29</v>
      </c>
      <c r="I188" s="2" t="s">
        <v>38</v>
      </c>
    </row>
    <row r="189" spans="1:9" x14ac:dyDescent="0.25">
      <c r="A189" s="2">
        <v>188</v>
      </c>
      <c r="B189" s="2" t="s">
        <v>39</v>
      </c>
      <c r="C189" s="2" t="s">
        <v>31</v>
      </c>
      <c r="D189" s="2" t="s">
        <v>11</v>
      </c>
      <c r="E189" s="2" t="s">
        <v>63</v>
      </c>
      <c r="F189" s="3">
        <v>74500</v>
      </c>
      <c r="G189" s="2" t="s">
        <v>37</v>
      </c>
      <c r="H189" s="2" t="s">
        <v>22</v>
      </c>
      <c r="I189" s="2" t="s">
        <v>38</v>
      </c>
    </row>
    <row r="190" spans="1:9" x14ac:dyDescent="0.25">
      <c r="A190" s="2">
        <v>189</v>
      </c>
      <c r="B190" s="2" t="s">
        <v>46</v>
      </c>
      <c r="C190" s="2" t="s">
        <v>51</v>
      </c>
      <c r="D190" s="2" t="s">
        <v>11</v>
      </c>
      <c r="E190" s="2" t="s">
        <v>17</v>
      </c>
      <c r="F190" s="3">
        <v>130000</v>
      </c>
      <c r="G190" s="2" t="s">
        <v>26</v>
      </c>
      <c r="H190" s="2" t="s">
        <v>22</v>
      </c>
      <c r="I190" s="2" t="s">
        <v>33</v>
      </c>
    </row>
    <row r="191" spans="1:9" x14ac:dyDescent="0.25">
      <c r="A191" s="2">
        <v>190</v>
      </c>
      <c r="B191" s="2" t="s">
        <v>23</v>
      </c>
      <c r="C191" s="2" t="s">
        <v>51</v>
      </c>
      <c r="D191" s="2" t="s">
        <v>11</v>
      </c>
      <c r="E191" s="2" t="s">
        <v>61</v>
      </c>
      <c r="F191" s="3">
        <v>44000</v>
      </c>
      <c r="G191" s="2" t="s">
        <v>37</v>
      </c>
      <c r="H191" s="2" t="s">
        <v>14</v>
      </c>
      <c r="I191" s="2" t="s">
        <v>33</v>
      </c>
    </row>
    <row r="192" spans="1:9" x14ac:dyDescent="0.25">
      <c r="A192" s="2">
        <v>191</v>
      </c>
      <c r="B192" s="2" t="s">
        <v>23</v>
      </c>
      <c r="C192" s="2" t="s">
        <v>10</v>
      </c>
      <c r="D192" s="2" t="s">
        <v>11</v>
      </c>
      <c r="E192" s="2" t="s">
        <v>52</v>
      </c>
      <c r="F192" s="3">
        <v>51000</v>
      </c>
      <c r="G192" s="2" t="s">
        <v>56</v>
      </c>
      <c r="H192" s="2" t="s">
        <v>14</v>
      </c>
      <c r="I192" s="2" t="s">
        <v>38</v>
      </c>
    </row>
    <row r="193" spans="1:9" x14ac:dyDescent="0.25">
      <c r="A193" s="2">
        <v>192</v>
      </c>
      <c r="B193" s="2" t="s">
        <v>39</v>
      </c>
      <c r="C193" s="2" t="s">
        <v>51</v>
      </c>
      <c r="D193" s="2" t="s">
        <v>11</v>
      </c>
      <c r="E193" s="2" t="s">
        <v>62</v>
      </c>
      <c r="F193" s="3">
        <v>120500</v>
      </c>
      <c r="G193" s="2" t="s">
        <v>13</v>
      </c>
      <c r="H193" s="2" t="s">
        <v>29</v>
      </c>
      <c r="I193" s="2" t="s">
        <v>33</v>
      </c>
    </row>
    <row r="194" spans="1:9" x14ac:dyDescent="0.25">
      <c r="A194" s="2">
        <v>193</v>
      </c>
      <c r="B194" s="2" t="s">
        <v>49</v>
      </c>
      <c r="C194" s="2" t="s">
        <v>31</v>
      </c>
      <c r="D194" s="2" t="s">
        <v>35</v>
      </c>
      <c r="E194" s="2" t="s">
        <v>48</v>
      </c>
      <c r="F194" s="3">
        <v>36500</v>
      </c>
      <c r="G194" s="2" t="s">
        <v>26</v>
      </c>
      <c r="H194" s="2" t="s">
        <v>14</v>
      </c>
      <c r="I194" s="2" t="s">
        <v>33</v>
      </c>
    </row>
    <row r="195" spans="1:9" x14ac:dyDescent="0.25">
      <c r="A195" s="2">
        <v>194</v>
      </c>
      <c r="B195" s="2" t="s">
        <v>39</v>
      </c>
      <c r="C195" s="2" t="s">
        <v>51</v>
      </c>
      <c r="D195" s="2" t="s">
        <v>11</v>
      </c>
      <c r="E195" s="2" t="s">
        <v>41</v>
      </c>
      <c r="F195" s="3">
        <v>78000</v>
      </c>
      <c r="G195" s="2" t="s">
        <v>37</v>
      </c>
      <c r="H195" s="2" t="s">
        <v>22</v>
      </c>
      <c r="I195" s="2" t="s">
        <v>38</v>
      </c>
    </row>
    <row r="196" spans="1:9" x14ac:dyDescent="0.25">
      <c r="A196" s="2">
        <v>195</v>
      </c>
      <c r="B196" s="2" t="s">
        <v>54</v>
      </c>
      <c r="C196" s="2" t="s">
        <v>24</v>
      </c>
      <c r="D196" s="2" t="s">
        <v>27</v>
      </c>
      <c r="E196" s="2" t="s">
        <v>28</v>
      </c>
      <c r="F196" s="3">
        <v>79000</v>
      </c>
      <c r="G196" s="2" t="s">
        <v>32</v>
      </c>
      <c r="H196" s="2" t="s">
        <v>14</v>
      </c>
      <c r="I196" s="2" t="s">
        <v>33</v>
      </c>
    </row>
    <row r="197" spans="1:9" x14ac:dyDescent="0.25">
      <c r="A197" s="2">
        <v>196</v>
      </c>
      <c r="B197" s="2" t="s">
        <v>54</v>
      </c>
      <c r="C197" s="2" t="s">
        <v>34</v>
      </c>
      <c r="D197" s="2" t="s">
        <v>11</v>
      </c>
      <c r="E197" s="2" t="s">
        <v>20</v>
      </c>
      <c r="F197" s="3">
        <v>139500</v>
      </c>
      <c r="G197" s="2" t="s">
        <v>42</v>
      </c>
      <c r="H197" s="2" t="s">
        <v>22</v>
      </c>
      <c r="I197" s="2" t="s">
        <v>38</v>
      </c>
    </row>
    <row r="198" spans="1:9" x14ac:dyDescent="0.25">
      <c r="A198" s="2">
        <v>197</v>
      </c>
      <c r="B198" s="2" t="s">
        <v>46</v>
      </c>
      <c r="C198" s="2" t="s">
        <v>51</v>
      </c>
      <c r="D198" s="2" t="s">
        <v>27</v>
      </c>
      <c r="E198" s="2" t="s">
        <v>48</v>
      </c>
      <c r="F198" s="3">
        <v>84500</v>
      </c>
      <c r="G198" s="2" t="s">
        <v>53</v>
      </c>
      <c r="H198" s="2" t="s">
        <v>14</v>
      </c>
      <c r="I198" s="2" t="s">
        <v>38</v>
      </c>
    </row>
    <row r="199" spans="1:9" x14ac:dyDescent="0.25">
      <c r="A199" s="2">
        <v>198</v>
      </c>
      <c r="B199" s="2" t="s">
        <v>23</v>
      </c>
      <c r="C199" s="2" t="s">
        <v>47</v>
      </c>
      <c r="D199" s="2" t="s">
        <v>11</v>
      </c>
      <c r="E199" s="2" t="s">
        <v>61</v>
      </c>
      <c r="F199" s="3">
        <v>14500</v>
      </c>
      <c r="G199" s="2" t="s">
        <v>58</v>
      </c>
      <c r="H199" s="2" t="s">
        <v>14</v>
      </c>
      <c r="I199" s="2" t="s">
        <v>38</v>
      </c>
    </row>
    <row r="200" spans="1:9" x14ac:dyDescent="0.25">
      <c r="A200" s="2">
        <v>199</v>
      </c>
      <c r="B200" s="2" t="s">
        <v>30</v>
      </c>
      <c r="C200" s="2" t="s">
        <v>45</v>
      </c>
      <c r="D200" s="2" t="s">
        <v>35</v>
      </c>
      <c r="E200" s="2" t="s">
        <v>63</v>
      </c>
      <c r="F200" s="3">
        <v>128500</v>
      </c>
      <c r="G200" s="2" t="s">
        <v>32</v>
      </c>
      <c r="H200" s="2" t="s">
        <v>22</v>
      </c>
      <c r="I200" s="2" t="s">
        <v>15</v>
      </c>
    </row>
    <row r="201" spans="1:9" x14ac:dyDescent="0.25">
      <c r="A201" s="4">
        <v>200</v>
      </c>
      <c r="B201" s="4" t="s">
        <v>23</v>
      </c>
      <c r="C201" s="4" t="s">
        <v>10</v>
      </c>
      <c r="D201" s="4" t="s">
        <v>11</v>
      </c>
      <c r="E201" s="4" t="s">
        <v>36</v>
      </c>
      <c r="F201" s="5">
        <v>123000</v>
      </c>
      <c r="G201" s="4" t="s">
        <v>32</v>
      </c>
      <c r="H201" s="4" t="s">
        <v>29</v>
      </c>
      <c r="I201" s="4" t="s">
        <v>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3214A-098F-4C2C-AF6B-225B3FCA78BF}">
  <dimension ref="A3:G28"/>
  <sheetViews>
    <sheetView workbookViewId="0">
      <selection activeCell="A4" sqref="A4"/>
    </sheetView>
  </sheetViews>
  <sheetFormatPr defaultRowHeight="15" x14ac:dyDescent="0.25"/>
  <cols>
    <col min="1" max="1" width="13.140625" bestFit="1" customWidth="1"/>
    <col min="2" max="2" width="24.42578125" customWidth="1"/>
    <col min="6" max="6" width="13.140625" bestFit="1" customWidth="1"/>
    <col min="7" max="7" width="23.140625" customWidth="1"/>
  </cols>
  <sheetData>
    <row r="3" spans="1:7" x14ac:dyDescent="0.25">
      <c r="A3" s="6" t="s">
        <v>72</v>
      </c>
      <c r="B3" t="s">
        <v>74</v>
      </c>
      <c r="F3" s="6" t="s">
        <v>72</v>
      </c>
      <c r="G3" t="s">
        <v>74</v>
      </c>
    </row>
    <row r="4" spans="1:7" x14ac:dyDescent="0.25">
      <c r="A4" s="7" t="s">
        <v>31</v>
      </c>
      <c r="B4" s="8">
        <v>96886.363636363632</v>
      </c>
      <c r="F4" s="7" t="s">
        <v>46</v>
      </c>
      <c r="G4" s="8">
        <v>124250</v>
      </c>
    </row>
    <row r="5" spans="1:7" x14ac:dyDescent="0.25">
      <c r="A5" s="7" t="s">
        <v>34</v>
      </c>
      <c r="B5" s="8">
        <v>103500</v>
      </c>
      <c r="F5" s="7" t="s">
        <v>23</v>
      </c>
      <c r="G5" s="8">
        <v>59910.714285714283</v>
      </c>
    </row>
    <row r="6" spans="1:7" x14ac:dyDescent="0.25">
      <c r="A6" s="7" t="s">
        <v>24</v>
      </c>
      <c r="B6" s="8">
        <v>100022.72727272728</v>
      </c>
      <c r="F6" s="7" t="s">
        <v>39</v>
      </c>
      <c r="G6" s="8">
        <v>77000</v>
      </c>
    </row>
    <row r="7" spans="1:7" x14ac:dyDescent="0.25">
      <c r="A7" s="7" t="s">
        <v>47</v>
      </c>
      <c r="B7" s="8">
        <v>34265.625</v>
      </c>
      <c r="F7" s="7" t="s">
        <v>49</v>
      </c>
      <c r="G7" s="8">
        <v>52700</v>
      </c>
    </row>
    <row r="8" spans="1:7" x14ac:dyDescent="0.25">
      <c r="A8" s="7" t="s">
        <v>45</v>
      </c>
      <c r="B8" s="8">
        <v>106788.46153846153</v>
      </c>
      <c r="F8" s="7" t="s">
        <v>54</v>
      </c>
      <c r="G8" s="8">
        <v>116089.28571428571</v>
      </c>
    </row>
    <row r="9" spans="1:7" x14ac:dyDescent="0.25">
      <c r="A9" s="7" t="s">
        <v>16</v>
      </c>
      <c r="B9" s="8">
        <v>84200</v>
      </c>
      <c r="F9" s="7" t="s">
        <v>19</v>
      </c>
      <c r="G9" s="8">
        <v>91884.61538461539</v>
      </c>
    </row>
    <row r="10" spans="1:7" x14ac:dyDescent="0.25">
      <c r="A10" s="7" t="s">
        <v>51</v>
      </c>
      <c r="B10" s="8">
        <v>107840.90909090909</v>
      </c>
      <c r="F10" s="7" t="s">
        <v>9</v>
      </c>
      <c r="G10" s="8">
        <v>96666.666666666672</v>
      </c>
    </row>
    <row r="11" spans="1:7" x14ac:dyDescent="0.25">
      <c r="A11" s="7" t="s">
        <v>10</v>
      </c>
      <c r="B11" s="8">
        <v>115066.66666666667</v>
      </c>
      <c r="F11" s="7" t="s">
        <v>30</v>
      </c>
      <c r="G11" s="8">
        <v>109586.95652173914</v>
      </c>
    </row>
    <row r="12" spans="1:7" x14ac:dyDescent="0.25">
      <c r="A12" s="7" t="s">
        <v>73</v>
      </c>
      <c r="B12" s="8">
        <v>91540</v>
      </c>
      <c r="F12" s="7" t="s">
        <v>73</v>
      </c>
      <c r="G12" s="8">
        <v>91540</v>
      </c>
    </row>
    <row r="15" spans="1:7" x14ac:dyDescent="0.25">
      <c r="A15" s="6" t="s">
        <v>72</v>
      </c>
      <c r="B15" t="s">
        <v>75</v>
      </c>
      <c r="F15" s="6" t="s">
        <v>72</v>
      </c>
      <c r="G15" t="s">
        <v>75</v>
      </c>
    </row>
    <row r="16" spans="1:7" x14ac:dyDescent="0.25">
      <c r="A16" s="7" t="s">
        <v>35</v>
      </c>
      <c r="B16" s="9">
        <v>2841</v>
      </c>
      <c r="F16" s="7" t="s">
        <v>53</v>
      </c>
      <c r="G16" s="9">
        <v>1144</v>
      </c>
    </row>
    <row r="17" spans="1:7" x14ac:dyDescent="0.25">
      <c r="A17" s="7" t="s">
        <v>11</v>
      </c>
      <c r="B17" s="9">
        <v>14246</v>
      </c>
      <c r="F17" s="7" t="s">
        <v>58</v>
      </c>
      <c r="G17" s="9">
        <v>1964</v>
      </c>
    </row>
    <row r="18" spans="1:7" x14ac:dyDescent="0.25">
      <c r="A18" s="7" t="s">
        <v>65</v>
      </c>
      <c r="B18" s="9">
        <v>1214</v>
      </c>
      <c r="F18" s="7" t="s">
        <v>21</v>
      </c>
      <c r="G18" s="9">
        <v>998</v>
      </c>
    </row>
    <row r="19" spans="1:7" x14ac:dyDescent="0.25">
      <c r="A19" s="7" t="s">
        <v>27</v>
      </c>
      <c r="B19" s="9">
        <v>1799</v>
      </c>
      <c r="F19" s="7" t="s">
        <v>32</v>
      </c>
      <c r="G19" s="9">
        <v>1717</v>
      </c>
    </row>
    <row r="20" spans="1:7" x14ac:dyDescent="0.25">
      <c r="A20" s="7" t="s">
        <v>73</v>
      </c>
      <c r="B20" s="9">
        <v>20100</v>
      </c>
      <c r="F20" s="7" t="s">
        <v>42</v>
      </c>
      <c r="G20" s="9">
        <v>2006</v>
      </c>
    </row>
    <row r="21" spans="1:7" x14ac:dyDescent="0.25">
      <c r="F21" s="7" t="s">
        <v>44</v>
      </c>
      <c r="G21" s="9">
        <v>1011</v>
      </c>
    </row>
    <row r="22" spans="1:7" x14ac:dyDescent="0.25">
      <c r="F22" s="7" t="s">
        <v>26</v>
      </c>
      <c r="G22" s="9">
        <v>2098</v>
      </c>
    </row>
    <row r="23" spans="1:7" x14ac:dyDescent="0.25">
      <c r="F23" s="7" t="s">
        <v>56</v>
      </c>
      <c r="G23" s="9">
        <v>1454</v>
      </c>
    </row>
    <row r="24" spans="1:7" x14ac:dyDescent="0.25">
      <c r="F24" s="7" t="s">
        <v>18</v>
      </c>
      <c r="G24" s="9">
        <v>1506</v>
      </c>
    </row>
    <row r="25" spans="1:7" x14ac:dyDescent="0.25">
      <c r="F25" s="7" t="s">
        <v>57</v>
      </c>
      <c r="G25" s="9">
        <v>1296</v>
      </c>
    </row>
    <row r="26" spans="1:7" x14ac:dyDescent="0.25">
      <c r="F26" s="7" t="s">
        <v>37</v>
      </c>
      <c r="G26" s="9">
        <v>2839</v>
      </c>
    </row>
    <row r="27" spans="1:7" x14ac:dyDescent="0.25">
      <c r="F27" s="7" t="s">
        <v>13</v>
      </c>
      <c r="G27" s="9">
        <v>2067</v>
      </c>
    </row>
    <row r="28" spans="1:7" x14ac:dyDescent="0.25">
      <c r="F28" s="7" t="s">
        <v>73</v>
      </c>
      <c r="G28" s="9">
        <v>20100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E765F-A14F-420D-98FA-4391B23DD603}">
  <dimension ref="A1:E9"/>
  <sheetViews>
    <sheetView workbookViewId="0">
      <selection activeCell="E3" sqref="E3"/>
    </sheetView>
  </sheetViews>
  <sheetFormatPr defaultRowHeight="15" x14ac:dyDescent="0.25"/>
  <cols>
    <col min="1" max="1" width="26.42578125" customWidth="1"/>
    <col min="2" max="3" width="10.7109375" customWidth="1"/>
    <col min="4" max="4" width="16.5703125" bestFit="1" customWidth="1"/>
    <col min="5" max="5" width="11.28515625" bestFit="1" customWidth="1"/>
  </cols>
  <sheetData>
    <row r="1" spans="1:5" x14ac:dyDescent="0.25">
      <c r="A1" t="s">
        <v>1</v>
      </c>
      <c r="B1" t="s">
        <v>67</v>
      </c>
      <c r="C1" t="s">
        <v>3</v>
      </c>
      <c r="D1" t="s">
        <v>68</v>
      </c>
      <c r="E1" t="s">
        <v>8</v>
      </c>
    </row>
    <row r="2" spans="1:5" x14ac:dyDescent="0.25">
      <c r="A2" t="str" cm="1">
        <f t="array" ref="A2:A9">_xlfn.UNIQUE(JobData[Job Title])</f>
        <v>Data Scientist</v>
      </c>
      <c r="B2" t="str" cm="1">
        <f t="array" ref="B2:B9">_xlfn.UNIQUE(JobData[Country])</f>
        <v>USA</v>
      </c>
      <c r="C2" t="str" cm="1">
        <f t="array" ref="C2:C5">_xlfn.UNIQUE(JobData[Job Type])</f>
        <v>Full-Time</v>
      </c>
      <c r="D2" t="str" cm="1">
        <f t="array" ref="D2:D4">_xlfn.UNIQUE(JobData[Experience Level])</f>
        <v>Entry Level</v>
      </c>
      <c r="E2" t="str" cm="1">
        <f t="array" ref="E2:E4">_xlfn.UNIQUE(JobData[Work Mode])</f>
        <v>Remote</v>
      </c>
    </row>
    <row r="3" spans="1:5" x14ac:dyDescent="0.25">
      <c r="A3" t="str">
        <v>Data Engineer</v>
      </c>
      <c r="B3" t="str">
        <v>UAE</v>
      </c>
      <c r="C3" t="str">
        <v>Part-Time</v>
      </c>
      <c r="D3" t="str">
        <v>Mid Level</v>
      </c>
      <c r="E3" t="str">
        <v>Hybrid</v>
      </c>
    </row>
    <row r="4" spans="1:5" x14ac:dyDescent="0.25">
      <c r="A4" t="str">
        <v>BI Analyst</v>
      </c>
      <c r="B4" t="str">
        <v>Germany</v>
      </c>
      <c r="C4" t="str">
        <v>Contract</v>
      </c>
      <c r="D4" t="str">
        <v>Senior Level</v>
      </c>
      <c r="E4" t="str">
        <v>Onsite</v>
      </c>
    </row>
    <row r="5" spans="1:5" x14ac:dyDescent="0.25">
      <c r="A5" t="str">
        <v>Machine Learning Engineer</v>
      </c>
      <c r="B5" t="str">
        <v>Australia</v>
      </c>
      <c r="C5" t="str">
        <v>Internship</v>
      </c>
    </row>
    <row r="6" spans="1:5" x14ac:dyDescent="0.25">
      <c r="A6" t="str">
        <v>Business Analyst</v>
      </c>
      <c r="B6" t="str">
        <v>Canada</v>
      </c>
    </row>
    <row r="7" spans="1:5" x14ac:dyDescent="0.25">
      <c r="A7" t="str">
        <v>Analytics Manager</v>
      </c>
      <c r="B7" t="str">
        <v>Singapore</v>
      </c>
    </row>
    <row r="8" spans="1:5" x14ac:dyDescent="0.25">
      <c r="A8" t="str">
        <v>Data Analyst</v>
      </c>
      <c r="B8" t="str">
        <v>India</v>
      </c>
    </row>
    <row r="9" spans="1:5" x14ac:dyDescent="0.25">
      <c r="A9" t="str">
        <v>Data Architect</v>
      </c>
      <c r="B9" t="str">
        <v>UK</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Raw_Data</vt:lpstr>
      <vt:lpstr>Pivot</vt:lpstr>
      <vt:lpstr>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anuansila729@gmail.com</dc:creator>
  <cp:lastModifiedBy>anuansila729@gmail.com</cp:lastModifiedBy>
  <dcterms:created xsi:type="dcterms:W3CDTF">2026-07-08T08:22:46Z</dcterms:created>
  <dcterms:modified xsi:type="dcterms:W3CDTF">2026-07-08T16:54:23Z</dcterms:modified>
</cp:coreProperties>
</file>